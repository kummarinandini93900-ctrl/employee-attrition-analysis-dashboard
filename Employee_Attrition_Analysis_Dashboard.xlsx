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dab51dfd6af342ae/Documents/"/>
    </mc:Choice>
  </mc:AlternateContent>
  <xr:revisionPtr revIDLastSave="1" documentId="8_{9232B8F0-1492-411F-B28B-9A718FDDAB01}" xr6:coauthVersionLast="47" xr6:coauthVersionMax="47" xr10:uidLastSave="{A51EE94A-634A-46FC-8AA3-EDCBD24B1DE9}"/>
  <bookViews>
    <workbookView xWindow="-110" yWindow="-110" windowWidth="19420" windowHeight="11500" activeTab="4" xr2:uid="{00000000-000D-0000-FFFF-FFFF00000000}"/>
  </bookViews>
  <sheets>
    <sheet name="Employee Attrition" sheetId="1" r:id="rId1"/>
    <sheet name="Sheet1" sheetId="2" r:id="rId2"/>
    <sheet name="Sheet2" sheetId="3" r:id="rId3"/>
    <sheet name="Sheet3" sheetId="4" r:id="rId4"/>
    <sheet name="Dashboard" sheetId="6" r:id="rId5"/>
  </sheets>
  <definedNames>
    <definedName name="Slicer_Department">#N/A</definedName>
    <definedName name="Slicer_Gender">#N/A</definedName>
  </definedNames>
  <calcPr calcId="191029"/>
  <pivotCaches>
    <pivotCache cacheId="4"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6" l="1"/>
  <c r="C6" i="6"/>
  <c r="K6" i="1"/>
  <c r="C5" i="6"/>
  <c r="C4" i="6"/>
  <c r="K5" i="1"/>
  <c r="K4" i="1"/>
  <c r="K3" i="1"/>
</calcChain>
</file>

<file path=xl/sharedStrings.xml><?xml version="1.0" encoding="utf-8"?>
<sst xmlns="http://schemas.openxmlformats.org/spreadsheetml/2006/main" count="345" uniqueCount="31">
  <si>
    <t>EmployeeID</t>
  </si>
  <si>
    <t>Department</t>
  </si>
  <si>
    <t>Age</t>
  </si>
  <si>
    <t>Gender</t>
  </si>
  <si>
    <t>Salary</t>
  </si>
  <si>
    <t>Experience</t>
  </si>
  <si>
    <t>Attrition</t>
  </si>
  <si>
    <t>IT</t>
  </si>
  <si>
    <t>Female</t>
  </si>
  <si>
    <t>Yes</t>
  </si>
  <si>
    <t>Male</t>
  </si>
  <si>
    <t>HR</t>
  </si>
  <si>
    <t>No</t>
  </si>
  <si>
    <t>Finance</t>
  </si>
  <si>
    <t>Sales</t>
  </si>
  <si>
    <t>KPI Cards</t>
  </si>
  <si>
    <t>Total Employees</t>
  </si>
  <si>
    <t>Attrition Count</t>
  </si>
  <si>
    <t>Retention Count</t>
  </si>
  <si>
    <t>Attrition Rate</t>
  </si>
  <si>
    <t>Row Labels</t>
  </si>
  <si>
    <t>Grand Total</t>
  </si>
  <si>
    <t>Sum of EmployeeID</t>
  </si>
  <si>
    <t>Column Labels</t>
  </si>
  <si>
    <t>Department-wise Attrition Analysis</t>
  </si>
  <si>
    <t>Count of EmployeeID</t>
  </si>
  <si>
    <t>Average of Salary</t>
  </si>
  <si>
    <t>EMPLOYEE ATTRITION ANALYSIS DASHBOARD</t>
  </si>
  <si>
    <t>KPI</t>
  </si>
  <si>
    <t>Average Salary</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</si>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</sst>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8">
    <font>
      <sz val="11"/>
      <color theme="1"/>
      <name val="Calibri"/>
      <family val="2"/>
      <scheme val="minor"/>
    </font>
    <font>
      <sz val="11"/>
      <color theme="1"/>
      <name val="Calibri"/>
      <family val="2"/>
      <scheme val="minor"/>
    </font>
    <font>
      <b/>
      <sz val="16"/>
      <color theme="1"/>
      <name val="Calibri"/>
      <family val="2"/>
      <scheme val="minor"/>
    </font>
    <font>
      <sz val="10"/>
      <color theme="1"/>
      <name val="Arial Unicode MS"/>
    </font>
    <font>
      <sz val="12"/>
      <color theme="1"/>
      <name val="Calibri"/>
      <family val="2"/>
      <scheme val="minor"/>
    </font>
    <font>
      <b/>
      <sz val="11"/>
      <color theme="1"/>
      <name val="Calibri"/>
      <family val="2"/>
      <scheme val="minor"/>
    </font>
    <font>
      <b/>
      <sz val="20"/>
      <color rgb="FF974706"/>
      <name val="Calibri"/>
      <family val="2"/>
      <scheme val="minor"/>
    </font>
    <font>
      <sz val="11"/>
      <color rgb="FF00000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8" tint="0.59999389629810485"/>
        <bgColor indexed="64"/>
      </patternFill>
    </fill>
    <fill>
      <patternFill patternType="solid">
        <fgColor rgb="FFB7DEE8"/>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2" fillId="0" borderId="0" xfId="0" applyFont="1" applyAlignment="1">
      <alignment vertical="center"/>
    </xf>
    <xf numFmtId="9" fontId="0" fillId="0" borderId="0" xfId="1" applyFont="1"/>
    <xf numFmtId="0" fontId="4" fillId="0" borderId="0" xfId="0" applyFont="1" applyAlignment="1">
      <alignment vertical="center"/>
    </xf>
    <xf numFmtId="0" fontId="0" fillId="0" borderId="0" xfId="0" pivotButton="1"/>
    <xf numFmtId="0" fontId="0" fillId="0" borderId="0" xfId="0" applyAlignment="1">
      <alignment horizontal="left"/>
    </xf>
    <xf numFmtId="0" fontId="3" fillId="0" borderId="0" xfId="0" applyFont="1" applyAlignment="1">
      <alignment horizontal="left" vertical="center"/>
    </xf>
    <xf numFmtId="0" fontId="0" fillId="2" borderId="0" xfId="0" applyFill="1"/>
    <xf numFmtId="0" fontId="0" fillId="0" borderId="1" xfId="0" applyBorder="1" applyAlignment="1">
      <alignment vertical="center" wrapText="1"/>
    </xf>
    <xf numFmtId="0" fontId="0" fillId="0" borderId="1" xfId="0" applyBorder="1"/>
    <xf numFmtId="9" fontId="0" fillId="0" borderId="1" xfId="1" applyFont="1" applyBorder="1" applyAlignment="1">
      <alignment vertical="center" wrapText="1"/>
    </xf>
    <xf numFmtId="0" fontId="5" fillId="3" borderId="1" xfId="0" applyFont="1" applyFill="1" applyBorder="1" applyAlignment="1">
      <alignment horizontal="center" vertical="center" wrapText="1"/>
    </xf>
    <xf numFmtId="0" fontId="6" fillId="4" borderId="0" xfId="0" applyFont="1" applyFill="1"/>
    <xf numFmtId="0" fontId="7" fillId="0" borderId="0" xfId="0" applyFont="1"/>
    <xf numFmtId="164" fontId="0" fillId="0" borderId="1" xfId="0" applyNumberFormat="1" applyBorder="1" applyAlignment="1">
      <alignment vertical="center" wrapText="1"/>
    </xf>
  </cellXfs>
  <cellStyles count="2">
    <cellStyle name="Normal" xfId="0" builtinId="0"/>
    <cellStyle name="Percent" xfId="1" builtinId="5"/>
  </cellStyles>
  <dxfs count="2">
    <dxf>
      <fill>
        <patternFill>
          <bgColor rgb="FFFF0000"/>
        </patternFill>
      </fill>
    </dxf>
    <dxf>
      <fill>
        <patternFill>
          <bgColor rgb="FF92D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[Employee_Attrition_Analysis_Dashboard.xlsx]Sheet2!PivotTable2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No</c:v>
                </c:pt>
              </c:strCache>
            </c:strRef>
          </c:tx>
          <c:spPr>
            <a:solidFill>
              <a:schemeClr val="accent1"/>
            </a:solidFill>
            <a:ln>
              <a:noFill/>
            </a:ln>
            <a:effectLst/>
          </c:spPr>
          <c:invertIfNegative val="0"/>
          <c:cat>
            <c:strRef>
              <c:f>Sheet2!$A$5:$A$9</c:f>
              <c:strCache>
                <c:ptCount val="4"/>
                <c:pt idx="0">
                  <c:v>Finance</c:v>
                </c:pt>
                <c:pt idx="1">
                  <c:v>HR</c:v>
                </c:pt>
                <c:pt idx="2">
                  <c:v>IT</c:v>
                </c:pt>
                <c:pt idx="3">
                  <c:v>Sales</c:v>
                </c:pt>
              </c:strCache>
            </c:strRef>
          </c:cat>
          <c:val>
            <c:numRef>
              <c:f>Sheet2!$B$5:$B$9</c:f>
              <c:numCache>
                <c:formatCode>General</c:formatCode>
                <c:ptCount val="4"/>
                <c:pt idx="0">
                  <c:v>19</c:v>
                </c:pt>
                <c:pt idx="1">
                  <c:v>18</c:v>
                </c:pt>
                <c:pt idx="2">
                  <c:v>20</c:v>
                </c:pt>
                <c:pt idx="3">
                  <c:v>12</c:v>
                </c:pt>
              </c:numCache>
            </c:numRef>
          </c:val>
          <c:extLst>
            <c:ext xmlns:c16="http://schemas.microsoft.com/office/drawing/2014/chart" uri="{C3380CC4-5D6E-409C-BE32-E72D297353CC}">
              <c16:uniqueId val="{00000000-FE03-47D7-A138-E481EE5E0F3F}"/>
            </c:ext>
          </c:extLst>
        </c:ser>
        <c:ser>
          <c:idx val="1"/>
          <c:order val="1"/>
          <c:tx>
            <c:strRef>
              <c:f>Sheet2!$C$3:$C$4</c:f>
              <c:strCache>
                <c:ptCount val="1"/>
                <c:pt idx="0">
                  <c:v>Yes</c:v>
                </c:pt>
              </c:strCache>
            </c:strRef>
          </c:tx>
          <c:spPr>
            <a:solidFill>
              <a:schemeClr val="accent2"/>
            </a:solidFill>
            <a:ln>
              <a:noFill/>
            </a:ln>
            <a:effectLst/>
          </c:spPr>
          <c:invertIfNegative val="0"/>
          <c:cat>
            <c:strRef>
              <c:f>Sheet2!$A$5:$A$9</c:f>
              <c:strCache>
                <c:ptCount val="4"/>
                <c:pt idx="0">
                  <c:v>Finance</c:v>
                </c:pt>
                <c:pt idx="1">
                  <c:v>HR</c:v>
                </c:pt>
                <c:pt idx="2">
                  <c:v>IT</c:v>
                </c:pt>
                <c:pt idx="3">
                  <c:v>Sales</c:v>
                </c:pt>
              </c:strCache>
            </c:strRef>
          </c:cat>
          <c:val>
            <c:numRef>
              <c:f>Sheet2!$C$5:$C$9</c:f>
              <c:numCache>
                <c:formatCode>General</c:formatCode>
                <c:ptCount val="4"/>
                <c:pt idx="0">
                  <c:v>7</c:v>
                </c:pt>
                <c:pt idx="1">
                  <c:v>4</c:v>
                </c:pt>
                <c:pt idx="2">
                  <c:v>14</c:v>
                </c:pt>
                <c:pt idx="3">
                  <c:v>6</c:v>
                </c:pt>
              </c:numCache>
            </c:numRef>
          </c:val>
          <c:extLst>
            <c:ext xmlns:c16="http://schemas.microsoft.com/office/drawing/2014/chart" uri="{C3380CC4-5D6E-409C-BE32-E72D297353CC}">
              <c16:uniqueId val="{00000001-FE03-47D7-A138-E481EE5E0F3F}"/>
            </c:ext>
          </c:extLst>
        </c:ser>
        <c:dLbls>
          <c:showLegendKey val="0"/>
          <c:showVal val="0"/>
          <c:showCatName val="0"/>
          <c:showSerName val="0"/>
          <c:showPercent val="0"/>
          <c:showBubbleSize val="0"/>
        </c:dLbls>
        <c:gapWidth val="219"/>
        <c:overlap val="-27"/>
        <c:axId val="1820779279"/>
        <c:axId val="1820781199"/>
      </c:barChart>
      <c:catAx>
        <c:axId val="182077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781199"/>
        <c:crosses val="autoZero"/>
        <c:auto val="1"/>
        <c:lblAlgn val="ctr"/>
        <c:lblOffset val="100"/>
        <c:noMultiLvlLbl val="0"/>
      </c:catAx>
      <c:valAx>
        <c:axId val="1820781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779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[Employee_Attrition_Analysis_Dashboard.xlsx]Sheet3!PivotTable1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Average Salary by Department</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C14D-44B0-9690-1D404B9C9D2B}"/>
              </c:ext>
            </c:extLst>
          </c:dPt>
          <c:dPt>
            <c:idx val="1"/>
            <c:bubble3D val="0"/>
            <c:spPr>
              <a:solidFill>
                <a:schemeClr val="accent2"/>
              </a:solidFill>
              <a:ln>
                <a:noFill/>
              </a:ln>
              <a:effectLst/>
            </c:spPr>
            <c:extLst>
              <c:ext xmlns:c16="http://schemas.microsoft.com/office/drawing/2014/chart" uri="{C3380CC4-5D6E-409C-BE32-E72D297353CC}">
                <c16:uniqueId val="{00000003-C14D-44B0-9690-1D404B9C9D2B}"/>
              </c:ext>
            </c:extLst>
          </c:dPt>
          <c:dPt>
            <c:idx val="2"/>
            <c:bubble3D val="0"/>
            <c:spPr>
              <a:solidFill>
                <a:schemeClr val="accent3"/>
              </a:solidFill>
              <a:ln>
                <a:noFill/>
              </a:ln>
              <a:effectLst/>
            </c:spPr>
            <c:extLst>
              <c:ext xmlns:c16="http://schemas.microsoft.com/office/drawing/2014/chart" uri="{C3380CC4-5D6E-409C-BE32-E72D297353CC}">
                <c16:uniqueId val="{00000005-C14D-44B0-9690-1D404B9C9D2B}"/>
              </c:ext>
            </c:extLst>
          </c:dPt>
          <c:dPt>
            <c:idx val="3"/>
            <c:bubble3D val="0"/>
            <c:spPr>
              <a:solidFill>
                <a:schemeClr val="accent4"/>
              </a:solidFill>
              <a:ln>
                <a:noFill/>
              </a:ln>
              <a:effectLst/>
            </c:spPr>
            <c:extLst>
              <c:ext xmlns:c16="http://schemas.microsoft.com/office/drawing/2014/chart" uri="{C3380CC4-5D6E-409C-BE32-E72D297353CC}">
                <c16:uniqueId val="{00000007-C14D-44B0-9690-1D404B9C9D2B}"/>
              </c:ext>
            </c:extLst>
          </c:dPt>
          <c:cat>
            <c:strRef>
              <c:f>Sheet3!$A$4:$A$8</c:f>
              <c:strCache>
                <c:ptCount val="4"/>
                <c:pt idx="0">
                  <c:v>Finance</c:v>
                </c:pt>
                <c:pt idx="1">
                  <c:v>HR</c:v>
                </c:pt>
                <c:pt idx="2">
                  <c:v>IT</c:v>
                </c:pt>
                <c:pt idx="3">
                  <c:v>Sales</c:v>
                </c:pt>
              </c:strCache>
            </c:strRef>
          </c:cat>
          <c:val>
            <c:numRef>
              <c:f>Sheet3!$B$4:$B$8</c:f>
              <c:numCache>
                <c:formatCode>General</c:formatCode>
                <c:ptCount val="4"/>
                <c:pt idx="0">
                  <c:v>58652.192307692305</c:v>
                </c:pt>
                <c:pt idx="1">
                  <c:v>58520.13636363636</c:v>
                </c:pt>
                <c:pt idx="2">
                  <c:v>60599.647058823532</c:v>
                </c:pt>
                <c:pt idx="3">
                  <c:v>56461.666666666664</c:v>
                </c:pt>
              </c:numCache>
            </c:numRef>
          </c:val>
          <c:extLst>
            <c:ext xmlns:c16="http://schemas.microsoft.com/office/drawing/2014/chart" uri="{C3380CC4-5D6E-409C-BE32-E72D297353CC}">
              <c16:uniqueId val="{00000000-78EC-47DA-A5DA-AF39747F1BD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[Employee_Attrition_Analysis_Dashboard.xlsx]Sheet3!PivotTable1</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Average Salary by Department</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A660-4E4F-AFDE-766ABA68588B}"/>
              </c:ext>
            </c:extLst>
          </c:dPt>
          <c:dPt>
            <c:idx val="1"/>
            <c:bubble3D val="0"/>
            <c:spPr>
              <a:solidFill>
                <a:schemeClr val="accent2"/>
              </a:solidFill>
              <a:ln>
                <a:noFill/>
              </a:ln>
              <a:effectLst/>
            </c:spPr>
            <c:extLst>
              <c:ext xmlns:c16="http://schemas.microsoft.com/office/drawing/2014/chart" uri="{C3380CC4-5D6E-409C-BE32-E72D297353CC}">
                <c16:uniqueId val="{00000003-A660-4E4F-AFDE-766ABA68588B}"/>
              </c:ext>
            </c:extLst>
          </c:dPt>
          <c:dPt>
            <c:idx val="2"/>
            <c:bubble3D val="0"/>
            <c:spPr>
              <a:solidFill>
                <a:schemeClr val="accent3"/>
              </a:solidFill>
              <a:ln>
                <a:noFill/>
              </a:ln>
              <a:effectLst/>
            </c:spPr>
            <c:extLst>
              <c:ext xmlns:c16="http://schemas.microsoft.com/office/drawing/2014/chart" uri="{C3380CC4-5D6E-409C-BE32-E72D297353CC}">
                <c16:uniqueId val="{00000005-A660-4E4F-AFDE-766ABA68588B}"/>
              </c:ext>
            </c:extLst>
          </c:dPt>
          <c:dPt>
            <c:idx val="3"/>
            <c:bubble3D val="0"/>
            <c:spPr>
              <a:solidFill>
                <a:schemeClr val="accent4"/>
              </a:solidFill>
              <a:ln>
                <a:noFill/>
              </a:ln>
              <a:effectLst/>
            </c:spPr>
            <c:extLst>
              <c:ext xmlns:c16="http://schemas.microsoft.com/office/drawing/2014/chart" uri="{C3380CC4-5D6E-409C-BE32-E72D297353CC}">
                <c16:uniqueId val="{00000007-A660-4E4F-AFDE-766ABA68588B}"/>
              </c:ext>
            </c:extLst>
          </c:dPt>
          <c:cat>
            <c:strRef>
              <c:f>Sheet3!$A$4:$A$8</c:f>
              <c:strCache>
                <c:ptCount val="4"/>
                <c:pt idx="0">
                  <c:v>Finance</c:v>
                </c:pt>
                <c:pt idx="1">
                  <c:v>HR</c:v>
                </c:pt>
                <c:pt idx="2">
                  <c:v>IT</c:v>
                </c:pt>
                <c:pt idx="3">
                  <c:v>Sales</c:v>
                </c:pt>
              </c:strCache>
            </c:strRef>
          </c:cat>
          <c:val>
            <c:numRef>
              <c:f>Sheet3!$B$4:$B$8</c:f>
              <c:numCache>
                <c:formatCode>General</c:formatCode>
                <c:ptCount val="4"/>
                <c:pt idx="0">
                  <c:v>58652.192307692305</c:v>
                </c:pt>
                <c:pt idx="1">
                  <c:v>58520.13636363636</c:v>
                </c:pt>
                <c:pt idx="2">
                  <c:v>60599.647058823532</c:v>
                </c:pt>
                <c:pt idx="3">
                  <c:v>56461.666666666664</c:v>
                </c:pt>
              </c:numCache>
            </c:numRef>
          </c:val>
          <c:extLst>
            <c:ext xmlns:c16="http://schemas.microsoft.com/office/drawing/2014/chart" uri="{C3380CC4-5D6E-409C-BE32-E72D297353CC}">
              <c16:uniqueId val="{00000008-A660-4E4F-AFDE-766ABA68588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[Employee_Attrition_Analysis_Dashboard.xlsx]Sheet2!PivotTable2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No</c:v>
                </c:pt>
              </c:strCache>
            </c:strRef>
          </c:tx>
          <c:spPr>
            <a:solidFill>
              <a:schemeClr val="accent1"/>
            </a:solidFill>
            <a:ln>
              <a:noFill/>
            </a:ln>
            <a:effectLst/>
          </c:spPr>
          <c:invertIfNegative val="0"/>
          <c:cat>
            <c:strRef>
              <c:f>Sheet2!$A$5:$A$9</c:f>
              <c:strCache>
                <c:ptCount val="4"/>
                <c:pt idx="0">
                  <c:v>Finance</c:v>
                </c:pt>
                <c:pt idx="1">
                  <c:v>HR</c:v>
                </c:pt>
                <c:pt idx="2">
                  <c:v>IT</c:v>
                </c:pt>
                <c:pt idx="3">
                  <c:v>Sales</c:v>
                </c:pt>
              </c:strCache>
            </c:strRef>
          </c:cat>
          <c:val>
            <c:numRef>
              <c:f>Sheet2!$B$5:$B$9</c:f>
              <c:numCache>
                <c:formatCode>General</c:formatCode>
                <c:ptCount val="4"/>
                <c:pt idx="0">
                  <c:v>19</c:v>
                </c:pt>
                <c:pt idx="1">
                  <c:v>18</c:v>
                </c:pt>
                <c:pt idx="2">
                  <c:v>20</c:v>
                </c:pt>
                <c:pt idx="3">
                  <c:v>12</c:v>
                </c:pt>
              </c:numCache>
            </c:numRef>
          </c:val>
          <c:extLst>
            <c:ext xmlns:c16="http://schemas.microsoft.com/office/drawing/2014/chart" uri="{C3380CC4-5D6E-409C-BE32-E72D297353CC}">
              <c16:uniqueId val="{00000000-940A-4FEA-AD51-6DF57E5DC33D}"/>
            </c:ext>
          </c:extLst>
        </c:ser>
        <c:ser>
          <c:idx val="1"/>
          <c:order val="1"/>
          <c:tx>
            <c:strRef>
              <c:f>Sheet2!$C$3:$C$4</c:f>
              <c:strCache>
                <c:ptCount val="1"/>
                <c:pt idx="0">
                  <c:v>Yes</c:v>
                </c:pt>
              </c:strCache>
            </c:strRef>
          </c:tx>
          <c:spPr>
            <a:solidFill>
              <a:schemeClr val="accent2"/>
            </a:solidFill>
            <a:ln>
              <a:noFill/>
            </a:ln>
            <a:effectLst/>
          </c:spPr>
          <c:invertIfNegative val="0"/>
          <c:cat>
            <c:strRef>
              <c:f>Sheet2!$A$5:$A$9</c:f>
              <c:strCache>
                <c:ptCount val="4"/>
                <c:pt idx="0">
                  <c:v>Finance</c:v>
                </c:pt>
                <c:pt idx="1">
                  <c:v>HR</c:v>
                </c:pt>
                <c:pt idx="2">
                  <c:v>IT</c:v>
                </c:pt>
                <c:pt idx="3">
                  <c:v>Sales</c:v>
                </c:pt>
              </c:strCache>
            </c:strRef>
          </c:cat>
          <c:val>
            <c:numRef>
              <c:f>Sheet2!$C$5:$C$9</c:f>
              <c:numCache>
                <c:formatCode>General</c:formatCode>
                <c:ptCount val="4"/>
                <c:pt idx="0">
                  <c:v>7</c:v>
                </c:pt>
                <c:pt idx="1">
                  <c:v>4</c:v>
                </c:pt>
                <c:pt idx="2">
                  <c:v>14</c:v>
                </c:pt>
                <c:pt idx="3">
                  <c:v>6</c:v>
                </c:pt>
              </c:numCache>
            </c:numRef>
          </c:val>
          <c:extLst>
            <c:ext xmlns:c16="http://schemas.microsoft.com/office/drawing/2014/chart" uri="{C3380CC4-5D6E-409C-BE32-E72D297353CC}">
              <c16:uniqueId val="{00000001-940A-4FEA-AD51-6DF57E5DC33D}"/>
            </c:ext>
          </c:extLst>
        </c:ser>
        <c:dLbls>
          <c:showLegendKey val="0"/>
          <c:showVal val="0"/>
          <c:showCatName val="0"/>
          <c:showSerName val="0"/>
          <c:showPercent val="0"/>
          <c:showBubbleSize val="0"/>
        </c:dLbls>
        <c:gapWidth val="219"/>
        <c:overlap val="-27"/>
        <c:axId val="1820779279"/>
        <c:axId val="1820781199"/>
      </c:barChart>
      <c:catAx>
        <c:axId val="182077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781199"/>
        <c:crosses val="autoZero"/>
        <c:auto val="1"/>
        <c:lblAlgn val="ctr"/>
        <c:lblOffset val="100"/>
        <c:noMultiLvlLbl val="0"/>
      </c:catAx>
      <c:valAx>
        <c:axId val="1820781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779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9</xdr:col>
      <xdr:colOff>50800</xdr:colOff>
      <xdr:row>8</xdr:row>
      <xdr:rowOff>95250</xdr:rowOff>
    </xdr:from>
    <xdr:to>
      <xdr:col>16</xdr:col>
      <xdr:colOff>355600</xdr:colOff>
      <xdr:row>23</xdr:row>
      <xdr:rowOff>76200</xdr:rowOff>
    </xdr:to>
    <xdr:graphicFrame macro="">
      <xdr:nvGraphicFramePr>
        <xdr:cNvPr id="2" name="Chart 1">
          <a:extLst>
            <a:ext uri="{FF2B5EF4-FFF2-40B4-BE49-F238E27FC236}">
              <a16:creationId xmlns:a16="http://schemas.microsoft.com/office/drawing/2014/main" id="{BEDFF91C-0144-E944-AD5A-3D828D1DD0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476250</xdr:colOff>
      <xdr:row>9</xdr:row>
      <xdr:rowOff>107950</xdr:rowOff>
    </xdr:from>
    <xdr:to>
      <xdr:col>8</xdr:col>
      <xdr:colOff>476250</xdr:colOff>
      <xdr:row>23</xdr:row>
      <xdr:rowOff>53975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46FD9119-2329-3347-21F0-876CF46E491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464050" y="1765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31750</xdr:colOff>
      <xdr:row>9</xdr:row>
      <xdr:rowOff>127000</xdr:rowOff>
    </xdr:from>
    <xdr:to>
      <xdr:col>5</xdr:col>
      <xdr:colOff>247650</xdr:colOff>
      <xdr:row>23</xdr:row>
      <xdr:rowOff>73025</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EE8C81C6-7473-0D6D-0598-CB1C1572B46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06650" y="1784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247650</xdr:colOff>
      <xdr:row>2</xdr:row>
      <xdr:rowOff>171450</xdr:rowOff>
    </xdr:from>
    <xdr:to>
      <xdr:col>11</xdr:col>
      <xdr:colOff>552450</xdr:colOff>
      <xdr:row>17</xdr:row>
      <xdr:rowOff>152400</xdr:rowOff>
    </xdr:to>
    <xdr:graphicFrame macro="">
      <xdr:nvGraphicFramePr>
        <xdr:cNvPr id="2" name="Chart 1">
          <a:extLst>
            <a:ext uri="{FF2B5EF4-FFF2-40B4-BE49-F238E27FC236}">
              <a16:creationId xmlns:a16="http://schemas.microsoft.com/office/drawing/2014/main" id="{4DEF5A6C-6B66-5AE3-2E54-EA285A2415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589966</xdr:colOff>
      <xdr:row>9</xdr:row>
      <xdr:rowOff>111745</xdr:rowOff>
    </xdr:from>
    <xdr:to>
      <xdr:col>18</xdr:col>
      <xdr:colOff>281663</xdr:colOff>
      <xdr:row>25</xdr:row>
      <xdr:rowOff>92694</xdr:rowOff>
    </xdr:to>
    <xdr:graphicFrame macro="">
      <xdr:nvGraphicFramePr>
        <xdr:cNvPr id="2" name="Chart 1">
          <a:extLst>
            <a:ext uri="{FF2B5EF4-FFF2-40B4-BE49-F238E27FC236}">
              <a16:creationId xmlns:a16="http://schemas.microsoft.com/office/drawing/2014/main" id="{C6DE8549-5AA6-45E8-8CAA-30F83B8FD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243855</xdr:colOff>
      <xdr:row>9</xdr:row>
      <xdr:rowOff>130504</xdr:rowOff>
    </xdr:from>
    <xdr:to>
      <xdr:col>5</xdr:col>
      <xdr:colOff>503621</xdr:colOff>
      <xdr:row>24</xdr:row>
      <xdr:rowOff>111454</xdr:rowOff>
    </xdr:to>
    <xdr:graphicFrame macro="">
      <xdr:nvGraphicFramePr>
        <xdr:cNvPr id="3" name="Chart 2">
          <a:extLst>
            <a:ext uri="{FF2B5EF4-FFF2-40B4-BE49-F238E27FC236}">
              <a16:creationId xmlns:a16="http://schemas.microsoft.com/office/drawing/2014/main" id="{4CF8B52B-F252-4F6D-B4E9-9018E83320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104446</xdr:colOff>
      <xdr:row>3</xdr:row>
      <xdr:rowOff>474425</xdr:rowOff>
    </xdr:from>
    <xdr:to>
      <xdr:col>10</xdr:col>
      <xdr:colOff>104445</xdr:colOff>
      <xdr:row>17</xdr:row>
      <xdr:rowOff>130029</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F18900EE-2F66-4BA5-B961-BCE333B9AE4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147894" y="875716"/>
              <a:ext cx="1839310" cy="25023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121015</xdr:colOff>
      <xdr:row>14</xdr:row>
      <xdr:rowOff>163129</xdr:rowOff>
    </xdr:from>
    <xdr:to>
      <xdr:col>10</xdr:col>
      <xdr:colOff>121015</xdr:colOff>
      <xdr:row>28</xdr:row>
      <xdr:rowOff>110834</xdr:rowOff>
    </xdr:to>
    <mc:AlternateContent xmlns:mc="http://schemas.openxmlformats.org/markup-compatibility/2006" xmlns:a14="http://schemas.microsoft.com/office/drawing/2010/main">
      <mc:Choice Requires="a14">
        <xdr:graphicFrame macro="">
          <xdr:nvGraphicFramePr>
            <xdr:cNvPr id="5" name="Department 1">
              <a:extLst>
                <a:ext uri="{FF2B5EF4-FFF2-40B4-BE49-F238E27FC236}">
                  <a16:creationId xmlns:a16="http://schemas.microsoft.com/office/drawing/2014/main" id="{CBD38E24-FD10-41E5-81E9-DDC25AAB647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6164463" y="2863704"/>
              <a:ext cx="1839311" cy="25023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ndini" refreshedDate="46179.99555983796" createdVersion="8" refreshedVersion="8" minRefreshableVersion="3" recordCount="100" xr:uid="{0B005F39-92CE-42E2-A904-4FBBDFEA9590}">
  <cacheSource type="worksheet">
    <worksheetSource ref="A1:G101" sheet="Employee Attrition"/>
  </cacheSource>
  <cacheFields count="7">
    <cacheField name="EmployeeID" numFmtId="0">
      <sharedItems containsSemiMixedTypes="0" containsString="0" containsNumber="1" containsInteger="1" minValue="101" maxValue="200"/>
    </cacheField>
    <cacheField name="Department" numFmtId="0">
      <sharedItems count="4">
        <s v="IT"/>
        <s v="HR"/>
        <s v="Finance"/>
        <s v="Sales"/>
      </sharedItems>
    </cacheField>
    <cacheField name="Age" numFmtId="0">
      <sharedItems containsSemiMixedTypes="0" containsString="0" containsNumber="1" containsInteger="1" minValue="22" maxValue="50"/>
    </cacheField>
    <cacheField name="Gender" numFmtId="0">
      <sharedItems count="2">
        <s v="Female"/>
        <s v="Male"/>
      </sharedItems>
    </cacheField>
    <cacheField name="Salary" numFmtId="0">
      <sharedItems containsSemiMixedTypes="0" containsString="0" containsNumber="1" containsInteger="1" minValue="30633" maxValue="88985"/>
    </cacheField>
    <cacheField name="Experience" numFmtId="0">
      <sharedItems containsSemiMixedTypes="0" containsString="0" containsNumber="1" containsInteger="1" minValue="1" maxValue="15"/>
    </cacheField>
    <cacheField name="Attrition" numFmtId="0">
      <sharedItems count="2">
        <s v="Yes"/>
        <s v="No"/>
      </sharedItems>
    </cacheField>
  </cacheFields>
  <extLst>
    <ext xmlns:x14="http://schemas.microsoft.com/office/spreadsheetml/2009/9/main" uri="{725AE2AE-9491-48be-B2B4-4EB974FC3084}">
      <x14:pivotCacheDefinition pivotCacheId="11197963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1"/>
    <x v="0"/>
    <n v="22"/>
    <x v="0"/>
    <n v="44628"/>
    <n v="4"/>
    <x v="0"/>
  </r>
  <r>
    <n v="102"/>
    <x v="0"/>
    <n v="43"/>
    <x v="1"/>
    <n v="57651"/>
    <n v="10"/>
    <x v="0"/>
  </r>
  <r>
    <n v="103"/>
    <x v="0"/>
    <n v="28"/>
    <x v="1"/>
    <n v="69453"/>
    <n v="9"/>
    <x v="0"/>
  </r>
  <r>
    <n v="104"/>
    <x v="1"/>
    <n v="44"/>
    <x v="0"/>
    <n v="59439"/>
    <n v="4"/>
    <x v="1"/>
  </r>
  <r>
    <n v="105"/>
    <x v="0"/>
    <n v="46"/>
    <x v="1"/>
    <n v="57696"/>
    <n v="12"/>
    <x v="1"/>
  </r>
  <r>
    <n v="106"/>
    <x v="1"/>
    <n v="28"/>
    <x v="0"/>
    <n v="36078"/>
    <n v="2"/>
    <x v="1"/>
  </r>
  <r>
    <n v="107"/>
    <x v="2"/>
    <n v="49"/>
    <x v="0"/>
    <n v="47335"/>
    <n v="10"/>
    <x v="1"/>
  </r>
  <r>
    <n v="108"/>
    <x v="3"/>
    <n v="39"/>
    <x v="1"/>
    <n v="54807"/>
    <n v="15"/>
    <x v="0"/>
  </r>
  <r>
    <n v="109"/>
    <x v="2"/>
    <n v="48"/>
    <x v="0"/>
    <n v="42601"/>
    <n v="10"/>
    <x v="1"/>
  </r>
  <r>
    <n v="110"/>
    <x v="0"/>
    <n v="43"/>
    <x v="1"/>
    <n v="48965"/>
    <n v="13"/>
    <x v="1"/>
  </r>
  <r>
    <n v="111"/>
    <x v="1"/>
    <n v="49"/>
    <x v="1"/>
    <n v="48217"/>
    <n v="7"/>
    <x v="1"/>
  </r>
  <r>
    <n v="112"/>
    <x v="2"/>
    <n v="27"/>
    <x v="0"/>
    <n v="43730"/>
    <n v="6"/>
    <x v="1"/>
  </r>
  <r>
    <n v="113"/>
    <x v="0"/>
    <n v="41"/>
    <x v="1"/>
    <n v="77784"/>
    <n v="9"/>
    <x v="0"/>
  </r>
  <r>
    <n v="114"/>
    <x v="3"/>
    <n v="34"/>
    <x v="0"/>
    <n v="71943"/>
    <n v="15"/>
    <x v="1"/>
  </r>
  <r>
    <n v="115"/>
    <x v="1"/>
    <n v="43"/>
    <x v="0"/>
    <n v="80352"/>
    <n v="14"/>
    <x v="1"/>
  </r>
  <r>
    <n v="116"/>
    <x v="1"/>
    <n v="48"/>
    <x v="1"/>
    <n v="50673"/>
    <n v="13"/>
    <x v="1"/>
  </r>
  <r>
    <n v="117"/>
    <x v="0"/>
    <n v="28"/>
    <x v="0"/>
    <n v="72954"/>
    <n v="4"/>
    <x v="1"/>
  </r>
  <r>
    <n v="118"/>
    <x v="3"/>
    <n v="26"/>
    <x v="0"/>
    <n v="46162"/>
    <n v="3"/>
    <x v="1"/>
  </r>
  <r>
    <n v="119"/>
    <x v="2"/>
    <n v="45"/>
    <x v="0"/>
    <n v="68242"/>
    <n v="15"/>
    <x v="1"/>
  </r>
  <r>
    <n v="120"/>
    <x v="1"/>
    <n v="26"/>
    <x v="0"/>
    <n v="79530"/>
    <n v="2"/>
    <x v="0"/>
  </r>
  <r>
    <n v="121"/>
    <x v="0"/>
    <n v="26"/>
    <x v="1"/>
    <n v="74596"/>
    <n v="13"/>
    <x v="1"/>
  </r>
  <r>
    <n v="122"/>
    <x v="0"/>
    <n v="34"/>
    <x v="0"/>
    <n v="60674"/>
    <n v="10"/>
    <x v="1"/>
  </r>
  <r>
    <n v="123"/>
    <x v="0"/>
    <n v="43"/>
    <x v="1"/>
    <n v="87985"/>
    <n v="11"/>
    <x v="1"/>
  </r>
  <r>
    <n v="124"/>
    <x v="2"/>
    <n v="46"/>
    <x v="0"/>
    <n v="49234"/>
    <n v="2"/>
    <x v="1"/>
  </r>
  <r>
    <n v="125"/>
    <x v="3"/>
    <n v="22"/>
    <x v="0"/>
    <n v="79935"/>
    <n v="9"/>
    <x v="0"/>
  </r>
  <r>
    <n v="126"/>
    <x v="0"/>
    <n v="49"/>
    <x v="0"/>
    <n v="71874"/>
    <n v="14"/>
    <x v="1"/>
  </r>
  <r>
    <n v="127"/>
    <x v="1"/>
    <n v="26"/>
    <x v="0"/>
    <n v="40587"/>
    <n v="13"/>
    <x v="1"/>
  </r>
  <r>
    <n v="128"/>
    <x v="0"/>
    <n v="41"/>
    <x v="0"/>
    <n v="31276"/>
    <n v="8"/>
    <x v="0"/>
  </r>
  <r>
    <n v="129"/>
    <x v="2"/>
    <n v="50"/>
    <x v="0"/>
    <n v="33796"/>
    <n v="4"/>
    <x v="0"/>
  </r>
  <r>
    <n v="130"/>
    <x v="0"/>
    <n v="24"/>
    <x v="0"/>
    <n v="34535"/>
    <n v="14"/>
    <x v="1"/>
  </r>
  <r>
    <n v="131"/>
    <x v="1"/>
    <n v="26"/>
    <x v="0"/>
    <n v="40821"/>
    <n v="9"/>
    <x v="1"/>
  </r>
  <r>
    <n v="132"/>
    <x v="3"/>
    <n v="28"/>
    <x v="1"/>
    <n v="50428"/>
    <n v="12"/>
    <x v="1"/>
  </r>
  <r>
    <n v="133"/>
    <x v="2"/>
    <n v="36"/>
    <x v="0"/>
    <n v="46246"/>
    <n v="2"/>
    <x v="0"/>
  </r>
  <r>
    <n v="134"/>
    <x v="2"/>
    <n v="22"/>
    <x v="1"/>
    <n v="44432"/>
    <n v="10"/>
    <x v="0"/>
  </r>
  <r>
    <n v="135"/>
    <x v="0"/>
    <n v="29"/>
    <x v="1"/>
    <n v="32058"/>
    <n v="15"/>
    <x v="1"/>
  </r>
  <r>
    <n v="136"/>
    <x v="0"/>
    <n v="38"/>
    <x v="1"/>
    <n v="73842"/>
    <n v="5"/>
    <x v="1"/>
  </r>
  <r>
    <n v="137"/>
    <x v="1"/>
    <n v="45"/>
    <x v="0"/>
    <n v="81420"/>
    <n v="4"/>
    <x v="1"/>
  </r>
  <r>
    <n v="138"/>
    <x v="3"/>
    <n v="28"/>
    <x v="1"/>
    <n v="73187"/>
    <n v="2"/>
    <x v="1"/>
  </r>
  <r>
    <n v="139"/>
    <x v="3"/>
    <n v="35"/>
    <x v="0"/>
    <n v="77780"/>
    <n v="14"/>
    <x v="0"/>
  </r>
  <r>
    <n v="140"/>
    <x v="0"/>
    <n v="23"/>
    <x v="0"/>
    <n v="52236"/>
    <n v="12"/>
    <x v="1"/>
  </r>
  <r>
    <n v="141"/>
    <x v="0"/>
    <n v="29"/>
    <x v="1"/>
    <n v="65146"/>
    <n v="4"/>
    <x v="1"/>
  </r>
  <r>
    <n v="142"/>
    <x v="3"/>
    <n v="27"/>
    <x v="0"/>
    <n v="46371"/>
    <n v="8"/>
    <x v="1"/>
  </r>
  <r>
    <n v="143"/>
    <x v="0"/>
    <n v="36"/>
    <x v="1"/>
    <n v="72738"/>
    <n v="1"/>
    <x v="1"/>
  </r>
  <r>
    <n v="144"/>
    <x v="0"/>
    <n v="24"/>
    <x v="1"/>
    <n v="56634"/>
    <n v="3"/>
    <x v="1"/>
  </r>
  <r>
    <n v="145"/>
    <x v="1"/>
    <n v="49"/>
    <x v="0"/>
    <n v="33842"/>
    <n v="15"/>
    <x v="0"/>
  </r>
  <r>
    <n v="146"/>
    <x v="0"/>
    <n v="34"/>
    <x v="0"/>
    <n v="81384"/>
    <n v="15"/>
    <x v="1"/>
  </r>
  <r>
    <n v="147"/>
    <x v="2"/>
    <n v="35"/>
    <x v="0"/>
    <n v="42445"/>
    <n v="3"/>
    <x v="1"/>
  </r>
  <r>
    <n v="148"/>
    <x v="0"/>
    <n v="40"/>
    <x v="1"/>
    <n v="50552"/>
    <n v="12"/>
    <x v="0"/>
  </r>
  <r>
    <n v="149"/>
    <x v="3"/>
    <n v="38"/>
    <x v="1"/>
    <n v="63281"/>
    <n v="1"/>
    <x v="0"/>
  </r>
  <r>
    <n v="150"/>
    <x v="1"/>
    <n v="24"/>
    <x v="1"/>
    <n v="86480"/>
    <n v="11"/>
    <x v="0"/>
  </r>
  <r>
    <n v="151"/>
    <x v="0"/>
    <n v="50"/>
    <x v="1"/>
    <n v="68962"/>
    <n v="10"/>
    <x v="0"/>
  </r>
  <r>
    <n v="152"/>
    <x v="0"/>
    <n v="35"/>
    <x v="0"/>
    <n v="47089"/>
    <n v="15"/>
    <x v="0"/>
  </r>
  <r>
    <n v="153"/>
    <x v="2"/>
    <n v="29"/>
    <x v="0"/>
    <n v="38577"/>
    <n v="7"/>
    <x v="1"/>
  </r>
  <r>
    <n v="154"/>
    <x v="2"/>
    <n v="36"/>
    <x v="0"/>
    <n v="79274"/>
    <n v="15"/>
    <x v="1"/>
  </r>
  <r>
    <n v="155"/>
    <x v="0"/>
    <n v="36"/>
    <x v="1"/>
    <n v="65234"/>
    <n v="2"/>
    <x v="0"/>
  </r>
  <r>
    <n v="156"/>
    <x v="2"/>
    <n v="26"/>
    <x v="0"/>
    <n v="34508"/>
    <n v="15"/>
    <x v="1"/>
  </r>
  <r>
    <n v="157"/>
    <x v="2"/>
    <n v="31"/>
    <x v="1"/>
    <n v="84640"/>
    <n v="8"/>
    <x v="1"/>
  </r>
  <r>
    <n v="158"/>
    <x v="2"/>
    <n v="41"/>
    <x v="1"/>
    <n v="83549"/>
    <n v="11"/>
    <x v="1"/>
  </r>
  <r>
    <n v="159"/>
    <x v="0"/>
    <n v="50"/>
    <x v="1"/>
    <n v="37564"/>
    <n v="5"/>
    <x v="1"/>
  </r>
  <r>
    <n v="160"/>
    <x v="1"/>
    <n v="30"/>
    <x v="0"/>
    <n v="43803"/>
    <n v="10"/>
    <x v="1"/>
  </r>
  <r>
    <n v="161"/>
    <x v="1"/>
    <n v="43"/>
    <x v="0"/>
    <n v="62016"/>
    <n v="9"/>
    <x v="1"/>
  </r>
  <r>
    <n v="162"/>
    <x v="0"/>
    <n v="24"/>
    <x v="0"/>
    <n v="48132"/>
    <n v="14"/>
    <x v="0"/>
  </r>
  <r>
    <n v="163"/>
    <x v="2"/>
    <n v="46"/>
    <x v="1"/>
    <n v="47167"/>
    <n v="11"/>
    <x v="0"/>
  </r>
  <r>
    <n v="164"/>
    <x v="3"/>
    <n v="39"/>
    <x v="0"/>
    <n v="30633"/>
    <n v="9"/>
    <x v="0"/>
  </r>
  <r>
    <n v="165"/>
    <x v="1"/>
    <n v="39"/>
    <x v="1"/>
    <n v="54196"/>
    <n v="14"/>
    <x v="1"/>
  </r>
  <r>
    <n v="166"/>
    <x v="1"/>
    <n v="35"/>
    <x v="1"/>
    <n v="50202"/>
    <n v="1"/>
    <x v="1"/>
  </r>
  <r>
    <n v="167"/>
    <x v="0"/>
    <n v="50"/>
    <x v="0"/>
    <n v="74699"/>
    <n v="4"/>
    <x v="0"/>
  </r>
  <r>
    <n v="168"/>
    <x v="0"/>
    <n v="33"/>
    <x v="0"/>
    <n v="79117"/>
    <n v="10"/>
    <x v="0"/>
  </r>
  <r>
    <n v="169"/>
    <x v="1"/>
    <n v="49"/>
    <x v="1"/>
    <n v="83134"/>
    <n v="13"/>
    <x v="0"/>
  </r>
  <r>
    <n v="170"/>
    <x v="3"/>
    <n v="22"/>
    <x v="1"/>
    <n v="51770"/>
    <n v="12"/>
    <x v="1"/>
  </r>
  <r>
    <n v="171"/>
    <x v="3"/>
    <n v="47"/>
    <x v="1"/>
    <n v="40433"/>
    <n v="5"/>
    <x v="1"/>
  </r>
  <r>
    <n v="172"/>
    <x v="0"/>
    <n v="34"/>
    <x v="1"/>
    <n v="60847"/>
    <n v="14"/>
    <x v="0"/>
  </r>
  <r>
    <n v="173"/>
    <x v="3"/>
    <n v="33"/>
    <x v="0"/>
    <n v="82123"/>
    <n v="14"/>
    <x v="1"/>
  </r>
  <r>
    <n v="174"/>
    <x v="1"/>
    <n v="22"/>
    <x v="1"/>
    <n v="51512"/>
    <n v="7"/>
    <x v="1"/>
  </r>
  <r>
    <n v="175"/>
    <x v="0"/>
    <n v="46"/>
    <x v="0"/>
    <n v="72040"/>
    <n v="6"/>
    <x v="1"/>
  </r>
  <r>
    <n v="176"/>
    <x v="2"/>
    <n v="22"/>
    <x v="1"/>
    <n v="47118"/>
    <n v="15"/>
    <x v="0"/>
  </r>
  <r>
    <n v="177"/>
    <x v="2"/>
    <n v="23"/>
    <x v="1"/>
    <n v="58479"/>
    <n v="10"/>
    <x v="1"/>
  </r>
  <r>
    <n v="178"/>
    <x v="2"/>
    <n v="35"/>
    <x v="1"/>
    <n v="88949"/>
    <n v="7"/>
    <x v="1"/>
  </r>
  <r>
    <n v="179"/>
    <x v="2"/>
    <n v="23"/>
    <x v="0"/>
    <n v="64073"/>
    <n v="1"/>
    <x v="1"/>
  </r>
  <r>
    <n v="180"/>
    <x v="1"/>
    <n v="33"/>
    <x v="0"/>
    <n v="73531"/>
    <n v="2"/>
    <x v="1"/>
  </r>
  <r>
    <n v="181"/>
    <x v="2"/>
    <n v="43"/>
    <x v="1"/>
    <n v="88985"/>
    <n v="12"/>
    <x v="1"/>
  </r>
  <r>
    <n v="182"/>
    <x v="2"/>
    <n v="43"/>
    <x v="0"/>
    <n v="56371"/>
    <n v="6"/>
    <x v="1"/>
  </r>
  <r>
    <n v="183"/>
    <x v="1"/>
    <n v="28"/>
    <x v="0"/>
    <n v="54847"/>
    <n v="11"/>
    <x v="1"/>
  </r>
  <r>
    <n v="184"/>
    <x v="1"/>
    <n v="41"/>
    <x v="0"/>
    <n v="65909"/>
    <n v="7"/>
    <x v="1"/>
  </r>
  <r>
    <n v="185"/>
    <x v="2"/>
    <n v="31"/>
    <x v="1"/>
    <n v="81495"/>
    <n v="7"/>
    <x v="1"/>
  </r>
  <r>
    <n v="186"/>
    <x v="2"/>
    <n v="36"/>
    <x v="0"/>
    <n v="74277"/>
    <n v="8"/>
    <x v="0"/>
  </r>
  <r>
    <n v="187"/>
    <x v="3"/>
    <n v="47"/>
    <x v="1"/>
    <n v="35557"/>
    <n v="11"/>
    <x v="1"/>
  </r>
  <r>
    <n v="188"/>
    <x v="2"/>
    <n v="24"/>
    <x v="1"/>
    <n v="50343"/>
    <n v="11"/>
    <x v="0"/>
  </r>
  <r>
    <n v="189"/>
    <x v="1"/>
    <n v="26"/>
    <x v="1"/>
    <n v="46046"/>
    <n v="1"/>
    <x v="1"/>
  </r>
  <r>
    <n v="190"/>
    <x v="0"/>
    <n v="36"/>
    <x v="0"/>
    <n v="71272"/>
    <n v="15"/>
    <x v="1"/>
  </r>
  <r>
    <n v="191"/>
    <x v="3"/>
    <n v="37"/>
    <x v="0"/>
    <n v="39671"/>
    <n v="4"/>
    <x v="1"/>
  </r>
  <r>
    <n v="192"/>
    <x v="0"/>
    <n v="50"/>
    <x v="1"/>
    <n v="57862"/>
    <n v="13"/>
    <x v="0"/>
  </r>
  <r>
    <n v="193"/>
    <x v="3"/>
    <n v="23"/>
    <x v="1"/>
    <n v="85596"/>
    <n v="15"/>
    <x v="0"/>
  </r>
  <r>
    <n v="194"/>
    <x v="1"/>
    <n v="47"/>
    <x v="0"/>
    <n v="64808"/>
    <n v="11"/>
    <x v="1"/>
  </r>
  <r>
    <n v="195"/>
    <x v="2"/>
    <n v="46"/>
    <x v="0"/>
    <n v="83412"/>
    <n v="10"/>
    <x v="1"/>
  </r>
  <r>
    <n v="196"/>
    <x v="3"/>
    <n v="48"/>
    <x v="0"/>
    <n v="40430"/>
    <n v="15"/>
    <x v="1"/>
  </r>
  <r>
    <n v="197"/>
    <x v="3"/>
    <n v="36"/>
    <x v="0"/>
    <n v="46203"/>
    <n v="13"/>
    <x v="1"/>
  </r>
  <r>
    <n v="198"/>
    <x v="2"/>
    <n v="46"/>
    <x v="0"/>
    <n v="45679"/>
    <n v="11"/>
    <x v="1"/>
  </r>
  <r>
    <n v="199"/>
    <x v="0"/>
    <n v="44"/>
    <x v="0"/>
    <n v="47807"/>
    <n v="4"/>
    <x v="1"/>
  </r>
  <r>
    <n v="200"/>
    <x v="0"/>
    <n v="26"/>
    <x v="1"/>
    <n v="55102"/>
    <n v="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8B00A9-1FDB-4754-9C37-3B938C68A60A}"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7">
    <pivotField dataField="1" showAll="0"/>
    <pivotField axis="axisRow" showAll="0">
      <items count="5">
        <item x="2"/>
        <item x="1"/>
        <item x="0"/>
        <item x="3"/>
        <item t="default"/>
      </items>
    </pivotField>
    <pivotField showAll="0"/>
    <pivotField showAll="0"/>
    <pivotField showAll="0"/>
    <pivotField showAll="0"/>
    <pivotField showAll="0"/>
  </pivotFields>
  <rowFields count="1">
    <field x="1"/>
  </rowFields>
  <rowItems count="5">
    <i>
      <x/>
    </i>
    <i>
      <x v="1"/>
    </i>
    <i>
      <x v="2"/>
    </i>
    <i>
      <x v="3"/>
    </i>
    <i t="grand">
      <x/>
    </i>
  </rowItems>
  <colItems count="1">
    <i/>
  </colItems>
  <dataFields count="1">
    <dataField name="Sum of Employee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AAC899-B479-4EBC-A385-5B268C507722}"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9" firstHeaderRow="1" firstDataRow="2" firstDataCol="1"/>
  <pivotFields count="7">
    <pivotField dataField="1" showAll="0"/>
    <pivotField axis="axisRow" showAll="0">
      <items count="5">
        <item x="2"/>
        <item x="1"/>
        <item x="0"/>
        <item x="3"/>
        <item t="default"/>
      </items>
    </pivotField>
    <pivotField showAll="0"/>
    <pivotField showAll="0">
      <items count="3">
        <item x="0"/>
        <item x="1"/>
        <item t="default"/>
      </items>
    </pivotField>
    <pivotField showAll="0"/>
    <pivotField showAll="0"/>
    <pivotField axis="axisCol" showAll="0">
      <items count="3">
        <item x="1"/>
        <item x="0"/>
        <item t="default"/>
      </items>
    </pivotField>
  </pivotFields>
  <rowFields count="1">
    <field x="1"/>
  </rowFields>
  <rowItems count="5">
    <i>
      <x/>
    </i>
    <i>
      <x v="1"/>
    </i>
    <i>
      <x v="2"/>
    </i>
    <i>
      <x v="3"/>
    </i>
    <i t="grand">
      <x/>
    </i>
  </rowItems>
  <colFields count="1">
    <field x="6"/>
  </colFields>
  <colItems count="3">
    <i>
      <x/>
    </i>
    <i>
      <x v="1"/>
    </i>
    <i t="grand">
      <x/>
    </i>
  </colItems>
  <dataFields count="1">
    <dataField name="Count of EmployeeID" fld="0" subtotal="count" baseField="1" baseItem="0"/>
  </dataFields>
  <chartFormats count="4">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3" format="4" series="1">
      <pivotArea type="data" outline="0" fieldPosition="0">
        <references count="2">
          <reference field="4294967294" count="1" selected="0">
            <x v="0"/>
          </reference>
          <reference field="6" count="1" selected="0">
            <x v="0"/>
          </reference>
        </references>
      </pivotArea>
    </chartFormat>
    <chartFormat chart="3" format="5"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7D2C37-94DC-425B-BF1D-176E6968644D}"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7">
    <pivotField showAll="0"/>
    <pivotField axis="axisRow" showAll="0">
      <items count="5">
        <item x="2"/>
        <item x="1"/>
        <item x="0"/>
        <item x="3"/>
        <item t="default"/>
      </items>
    </pivotField>
    <pivotField showAll="0"/>
    <pivotField showAll="0"/>
    <pivotField dataField="1" showAll="0"/>
    <pivotField showAll="0"/>
    <pivotField showAll="0"/>
  </pivotFields>
  <rowFields count="1">
    <field x="1"/>
  </rowFields>
  <rowItems count="5">
    <i>
      <x/>
    </i>
    <i>
      <x v="1"/>
    </i>
    <i>
      <x v="2"/>
    </i>
    <i>
      <x v="3"/>
    </i>
    <i t="grand">
      <x/>
    </i>
  </rowItems>
  <colItems count="1">
    <i/>
  </colItems>
  <dataFields count="1">
    <dataField name="Average of Salary" fld="4" subtotal="average" baseField="1" baseItem="0"/>
  </dataFields>
  <chartFormats count="6">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 count="1" selected="0">
            <x v="0"/>
          </reference>
        </references>
      </pivotArea>
    </chartFormat>
    <chartFormat chart="6" format="8">
      <pivotArea type="data" outline="0" fieldPosition="0">
        <references count="2">
          <reference field="4294967294" count="1" selected="0">
            <x v="0"/>
          </reference>
          <reference field="1" count="1" selected="0">
            <x v="1"/>
          </reference>
        </references>
      </pivotArea>
    </chartFormat>
    <chartFormat chart="6" format="9">
      <pivotArea type="data" outline="0" fieldPosition="0">
        <references count="2">
          <reference field="4294967294" count="1" selected="0">
            <x v="0"/>
          </reference>
          <reference field="1" count="1" selected="0">
            <x v="2"/>
          </reference>
        </references>
      </pivotArea>
    </chartFormat>
    <chartFormat chart="6"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39A53B4-AF53-44D0-855A-B7F580E0F1F6}" sourceName="Department">
  <pivotTables>
    <pivotTable tabId="3" name="PivotTable2"/>
  </pivotTables>
  <data>
    <tabular pivotCacheId="1119796367">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E83BDEF-0C57-4D50-9B6F-E0116BD2987C}" sourceName="Gender">
  <pivotTables>
    <pivotTable tabId="3" name="PivotTable2"/>
  </pivotTables>
  <data>
    <tabular pivotCacheId="111979636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29C4A2E-B6A6-4B6D-B2CC-42237842FA91}" cache="Slicer_Department" caption="Department" rowHeight="241300"/>
  <slicer name="Gender" xr10:uid="{35718F54-7802-46DF-A4C1-B941A40719FE}" cache="Slicer_Gender"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6A9A7EA3-C72C-4295-A208-DD0A020CDED1}" cache="Slicer_Department" caption="Department" rowHeight="241300"/>
  <slicer name="Gender 1" xr10:uid="{24BE45D4-B61F-4C8F-A1FD-8862BA680547}" cache="Slicer_Gender" caption="Gend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1"/>
  <sheetViews>
    <sheetView workbookViewId="0">
      <selection activeCell="J18" sqref="J18"/>
    </sheetView>
  </sheetViews>
  <sheetFormatPr defaultRowHeight="14.5"/>
  <cols>
    <col min="6" max="6" width="9.90625" bestFit="1" customWidth="1"/>
    <col min="10" max="10" width="18.54296875" bestFit="1" customWidth="1"/>
  </cols>
  <sheetData>
    <row r="1" spans="1:11">
      <c r="A1" t="s">
        <v>0</v>
      </c>
      <c r="B1" t="s">
        <v>1</v>
      </c>
      <c r="C1" t="s">
        <v>2</v>
      </c>
      <c r="D1" t="s">
        <v>3</v>
      </c>
      <c r="E1" t="s">
        <v>4</v>
      </c>
      <c r="F1" t="s">
        <v>5</v>
      </c>
      <c r="G1" t="s">
        <v>6</v>
      </c>
    </row>
    <row r="2" spans="1:11" ht="21">
      <c r="A2">
        <v>101</v>
      </c>
      <c r="B2" t="s">
        <v>7</v>
      </c>
      <c r="C2">
        <v>22</v>
      </c>
      <c r="D2" t="s">
        <v>8</v>
      </c>
      <c r="E2">
        <v>44628</v>
      </c>
      <c r="F2">
        <v>4</v>
      </c>
      <c r="G2" t="s">
        <v>9</v>
      </c>
      <c r="J2" s="1" t="s">
        <v>15</v>
      </c>
    </row>
    <row r="3" spans="1:11">
      <c r="A3">
        <v>102</v>
      </c>
      <c r="B3" t="s">
        <v>7</v>
      </c>
      <c r="C3">
        <v>43</v>
      </c>
      <c r="D3" t="s">
        <v>10</v>
      </c>
      <c r="E3">
        <v>57651</v>
      </c>
      <c r="F3">
        <v>10</v>
      </c>
      <c r="G3" t="s">
        <v>9</v>
      </c>
      <c r="J3" t="s">
        <v>16</v>
      </c>
      <c r="K3">
        <f>COUNTA(A2:A101)</f>
        <v>100</v>
      </c>
    </row>
    <row r="4" spans="1:11" ht="15.5">
      <c r="A4">
        <v>103</v>
      </c>
      <c r="B4" t="s">
        <v>7</v>
      </c>
      <c r="C4">
        <v>28</v>
      </c>
      <c r="D4" t="s">
        <v>10</v>
      </c>
      <c r="E4">
        <v>69453</v>
      </c>
      <c r="F4">
        <v>9</v>
      </c>
      <c r="G4" t="s">
        <v>9</v>
      </c>
      <c r="J4" s="3" t="s">
        <v>17</v>
      </c>
      <c r="K4">
        <f>COUNTIF(G2:G101,"yes")</f>
        <v>31</v>
      </c>
    </row>
    <row r="5" spans="1:11">
      <c r="A5">
        <v>104</v>
      </c>
      <c r="B5" t="s">
        <v>11</v>
      </c>
      <c r="C5">
        <v>44</v>
      </c>
      <c r="D5" t="s">
        <v>8</v>
      </c>
      <c r="E5">
        <v>59439</v>
      </c>
      <c r="F5">
        <v>4</v>
      </c>
      <c r="G5" t="s">
        <v>12</v>
      </c>
      <c r="J5" t="s">
        <v>18</v>
      </c>
      <c r="K5">
        <f>COUNTIF(G2:G101,"No")</f>
        <v>69</v>
      </c>
    </row>
    <row r="6" spans="1:11" ht="15.5">
      <c r="A6">
        <v>105</v>
      </c>
      <c r="B6" t="s">
        <v>7</v>
      </c>
      <c r="C6">
        <v>46</v>
      </c>
      <c r="D6" t="s">
        <v>10</v>
      </c>
      <c r="E6">
        <v>57696</v>
      </c>
      <c r="F6">
        <v>12</v>
      </c>
      <c r="G6" t="s">
        <v>12</v>
      </c>
      <c r="J6" s="3" t="s">
        <v>19</v>
      </c>
      <c r="K6" s="2">
        <f>COUNTIF(G2:G101,"Yes")/COUNTA(A2:A101)</f>
        <v>0.31</v>
      </c>
    </row>
    <row r="7" spans="1:11">
      <c r="A7">
        <v>106</v>
      </c>
      <c r="B7" t="s">
        <v>11</v>
      </c>
      <c r="C7">
        <v>28</v>
      </c>
      <c r="D7" t="s">
        <v>8</v>
      </c>
      <c r="E7">
        <v>36078</v>
      </c>
      <c r="F7">
        <v>2</v>
      </c>
      <c r="G7" t="s">
        <v>12</v>
      </c>
    </row>
    <row r="8" spans="1:11">
      <c r="A8">
        <v>107</v>
      </c>
      <c r="B8" t="s">
        <v>13</v>
      </c>
      <c r="C8">
        <v>49</v>
      </c>
      <c r="D8" t="s">
        <v>8</v>
      </c>
      <c r="E8">
        <v>47335</v>
      </c>
      <c r="F8">
        <v>10</v>
      </c>
      <c r="G8" t="s">
        <v>12</v>
      </c>
    </row>
    <row r="9" spans="1:11">
      <c r="A9">
        <v>108</v>
      </c>
      <c r="B9" t="s">
        <v>14</v>
      </c>
      <c r="C9">
        <v>39</v>
      </c>
      <c r="D9" t="s">
        <v>10</v>
      </c>
      <c r="E9">
        <v>54807</v>
      </c>
      <c r="F9">
        <v>15</v>
      </c>
      <c r="G9" t="s">
        <v>9</v>
      </c>
    </row>
    <row r="10" spans="1:11">
      <c r="A10">
        <v>109</v>
      </c>
      <c r="B10" t="s">
        <v>13</v>
      </c>
      <c r="C10">
        <v>48</v>
      </c>
      <c r="D10" t="s">
        <v>8</v>
      </c>
      <c r="E10">
        <v>42601</v>
      </c>
      <c r="F10">
        <v>10</v>
      </c>
      <c r="G10" t="s">
        <v>12</v>
      </c>
    </row>
    <row r="11" spans="1:11">
      <c r="A11">
        <v>110</v>
      </c>
      <c r="B11" t="s">
        <v>7</v>
      </c>
      <c r="C11">
        <v>43</v>
      </c>
      <c r="D11" t="s">
        <v>10</v>
      </c>
      <c r="E11">
        <v>48965</v>
      </c>
      <c r="F11">
        <v>13</v>
      </c>
      <c r="G11" t="s">
        <v>12</v>
      </c>
    </row>
    <row r="12" spans="1:11">
      <c r="A12">
        <v>111</v>
      </c>
      <c r="B12" t="s">
        <v>11</v>
      </c>
      <c r="C12">
        <v>49</v>
      </c>
      <c r="D12" t="s">
        <v>10</v>
      </c>
      <c r="E12">
        <v>48217</v>
      </c>
      <c r="F12">
        <v>7</v>
      </c>
      <c r="G12" t="s">
        <v>12</v>
      </c>
    </row>
    <row r="13" spans="1:11">
      <c r="A13">
        <v>112</v>
      </c>
      <c r="B13" t="s">
        <v>13</v>
      </c>
      <c r="C13">
        <v>27</v>
      </c>
      <c r="D13" t="s">
        <v>8</v>
      </c>
      <c r="E13">
        <v>43730</v>
      </c>
      <c r="F13">
        <v>6</v>
      </c>
      <c r="G13" t="s">
        <v>12</v>
      </c>
    </row>
    <row r="14" spans="1:11">
      <c r="A14">
        <v>113</v>
      </c>
      <c r="B14" t="s">
        <v>7</v>
      </c>
      <c r="C14">
        <v>41</v>
      </c>
      <c r="D14" t="s">
        <v>10</v>
      </c>
      <c r="E14">
        <v>77784</v>
      </c>
      <c r="F14">
        <v>9</v>
      </c>
      <c r="G14" t="s">
        <v>9</v>
      </c>
    </row>
    <row r="15" spans="1:11">
      <c r="A15">
        <v>114</v>
      </c>
      <c r="B15" t="s">
        <v>14</v>
      </c>
      <c r="C15">
        <v>34</v>
      </c>
      <c r="D15" t="s">
        <v>8</v>
      </c>
      <c r="E15">
        <v>71943</v>
      </c>
      <c r="F15">
        <v>15</v>
      </c>
      <c r="G15" t="s">
        <v>12</v>
      </c>
    </row>
    <row r="16" spans="1:11">
      <c r="A16">
        <v>115</v>
      </c>
      <c r="B16" t="s">
        <v>11</v>
      </c>
      <c r="C16">
        <v>43</v>
      </c>
      <c r="D16" t="s">
        <v>8</v>
      </c>
      <c r="E16">
        <v>80352</v>
      </c>
      <c r="F16">
        <v>14</v>
      </c>
      <c r="G16" t="s">
        <v>12</v>
      </c>
    </row>
    <row r="17" spans="1:7">
      <c r="A17">
        <v>116</v>
      </c>
      <c r="B17" t="s">
        <v>11</v>
      </c>
      <c r="C17">
        <v>48</v>
      </c>
      <c r="D17" t="s">
        <v>10</v>
      </c>
      <c r="E17">
        <v>50673</v>
      </c>
      <c r="F17">
        <v>13</v>
      </c>
      <c r="G17" t="s">
        <v>12</v>
      </c>
    </row>
    <row r="18" spans="1:7">
      <c r="A18">
        <v>117</v>
      </c>
      <c r="B18" t="s">
        <v>7</v>
      </c>
      <c r="C18">
        <v>28</v>
      </c>
      <c r="D18" t="s">
        <v>8</v>
      </c>
      <c r="E18">
        <v>72954</v>
      </c>
      <c r="F18">
        <v>4</v>
      </c>
      <c r="G18" t="s">
        <v>12</v>
      </c>
    </row>
    <row r="19" spans="1:7">
      <c r="A19">
        <v>118</v>
      </c>
      <c r="B19" t="s">
        <v>14</v>
      </c>
      <c r="C19">
        <v>26</v>
      </c>
      <c r="D19" t="s">
        <v>8</v>
      </c>
      <c r="E19">
        <v>46162</v>
      </c>
      <c r="F19">
        <v>3</v>
      </c>
      <c r="G19" t="s">
        <v>12</v>
      </c>
    </row>
    <row r="20" spans="1:7">
      <c r="A20">
        <v>119</v>
      </c>
      <c r="B20" t="s">
        <v>13</v>
      </c>
      <c r="C20">
        <v>45</v>
      </c>
      <c r="D20" t="s">
        <v>8</v>
      </c>
      <c r="E20">
        <v>68242</v>
      </c>
      <c r="F20">
        <v>15</v>
      </c>
      <c r="G20" t="s">
        <v>12</v>
      </c>
    </row>
    <row r="21" spans="1:7">
      <c r="A21">
        <v>120</v>
      </c>
      <c r="B21" t="s">
        <v>11</v>
      </c>
      <c r="C21">
        <v>26</v>
      </c>
      <c r="D21" t="s">
        <v>8</v>
      </c>
      <c r="E21">
        <v>79530</v>
      </c>
      <c r="F21">
        <v>2</v>
      </c>
      <c r="G21" t="s">
        <v>9</v>
      </c>
    </row>
    <row r="22" spans="1:7">
      <c r="A22">
        <v>121</v>
      </c>
      <c r="B22" t="s">
        <v>7</v>
      </c>
      <c r="C22">
        <v>26</v>
      </c>
      <c r="D22" t="s">
        <v>10</v>
      </c>
      <c r="E22">
        <v>74596</v>
      </c>
      <c r="F22">
        <v>13</v>
      </c>
      <c r="G22" t="s">
        <v>12</v>
      </c>
    </row>
    <row r="23" spans="1:7">
      <c r="A23">
        <v>122</v>
      </c>
      <c r="B23" t="s">
        <v>7</v>
      </c>
      <c r="C23">
        <v>34</v>
      </c>
      <c r="D23" t="s">
        <v>8</v>
      </c>
      <c r="E23">
        <v>60674</v>
      </c>
      <c r="F23">
        <v>10</v>
      </c>
      <c r="G23" t="s">
        <v>12</v>
      </c>
    </row>
    <row r="24" spans="1:7">
      <c r="A24">
        <v>123</v>
      </c>
      <c r="B24" t="s">
        <v>7</v>
      </c>
      <c r="C24">
        <v>43</v>
      </c>
      <c r="D24" t="s">
        <v>10</v>
      </c>
      <c r="E24">
        <v>87985</v>
      </c>
      <c r="F24">
        <v>11</v>
      </c>
      <c r="G24" t="s">
        <v>12</v>
      </c>
    </row>
    <row r="25" spans="1:7">
      <c r="A25">
        <v>124</v>
      </c>
      <c r="B25" t="s">
        <v>13</v>
      </c>
      <c r="C25">
        <v>46</v>
      </c>
      <c r="D25" t="s">
        <v>8</v>
      </c>
      <c r="E25">
        <v>49234</v>
      </c>
      <c r="F25">
        <v>2</v>
      </c>
      <c r="G25" t="s">
        <v>12</v>
      </c>
    </row>
    <row r="26" spans="1:7">
      <c r="A26">
        <v>125</v>
      </c>
      <c r="B26" t="s">
        <v>14</v>
      </c>
      <c r="C26">
        <v>22</v>
      </c>
      <c r="D26" t="s">
        <v>8</v>
      </c>
      <c r="E26">
        <v>79935</v>
      </c>
      <c r="F26">
        <v>9</v>
      </c>
      <c r="G26" t="s">
        <v>9</v>
      </c>
    </row>
    <row r="27" spans="1:7">
      <c r="A27">
        <v>126</v>
      </c>
      <c r="B27" t="s">
        <v>7</v>
      </c>
      <c r="C27">
        <v>49</v>
      </c>
      <c r="D27" t="s">
        <v>8</v>
      </c>
      <c r="E27">
        <v>71874</v>
      </c>
      <c r="F27">
        <v>14</v>
      </c>
      <c r="G27" t="s">
        <v>12</v>
      </c>
    </row>
    <row r="28" spans="1:7">
      <c r="A28">
        <v>127</v>
      </c>
      <c r="B28" t="s">
        <v>11</v>
      </c>
      <c r="C28">
        <v>26</v>
      </c>
      <c r="D28" t="s">
        <v>8</v>
      </c>
      <c r="E28">
        <v>40587</v>
      </c>
      <c r="F28">
        <v>13</v>
      </c>
      <c r="G28" t="s">
        <v>12</v>
      </c>
    </row>
    <row r="29" spans="1:7">
      <c r="A29">
        <v>128</v>
      </c>
      <c r="B29" t="s">
        <v>7</v>
      </c>
      <c r="C29">
        <v>41</v>
      </c>
      <c r="D29" t="s">
        <v>8</v>
      </c>
      <c r="E29">
        <v>31276</v>
      </c>
      <c r="F29">
        <v>8</v>
      </c>
      <c r="G29" t="s">
        <v>9</v>
      </c>
    </row>
    <row r="30" spans="1:7">
      <c r="A30">
        <v>129</v>
      </c>
      <c r="B30" t="s">
        <v>13</v>
      </c>
      <c r="C30">
        <v>50</v>
      </c>
      <c r="D30" t="s">
        <v>8</v>
      </c>
      <c r="E30">
        <v>33796</v>
      </c>
      <c r="F30">
        <v>4</v>
      </c>
      <c r="G30" t="s">
        <v>9</v>
      </c>
    </row>
    <row r="31" spans="1:7">
      <c r="A31">
        <v>130</v>
      </c>
      <c r="B31" t="s">
        <v>7</v>
      </c>
      <c r="C31">
        <v>24</v>
      </c>
      <c r="D31" t="s">
        <v>8</v>
      </c>
      <c r="E31">
        <v>34535</v>
      </c>
      <c r="F31">
        <v>14</v>
      </c>
      <c r="G31" t="s">
        <v>12</v>
      </c>
    </row>
    <row r="32" spans="1:7">
      <c r="A32">
        <v>131</v>
      </c>
      <c r="B32" t="s">
        <v>11</v>
      </c>
      <c r="C32">
        <v>26</v>
      </c>
      <c r="D32" t="s">
        <v>8</v>
      </c>
      <c r="E32">
        <v>40821</v>
      </c>
      <c r="F32">
        <v>9</v>
      </c>
      <c r="G32" t="s">
        <v>12</v>
      </c>
    </row>
    <row r="33" spans="1:7">
      <c r="A33">
        <v>132</v>
      </c>
      <c r="B33" t="s">
        <v>14</v>
      </c>
      <c r="C33">
        <v>28</v>
      </c>
      <c r="D33" t="s">
        <v>10</v>
      </c>
      <c r="E33">
        <v>50428</v>
      </c>
      <c r="F33">
        <v>12</v>
      </c>
      <c r="G33" t="s">
        <v>12</v>
      </c>
    </row>
    <row r="34" spans="1:7">
      <c r="A34">
        <v>133</v>
      </c>
      <c r="B34" t="s">
        <v>13</v>
      </c>
      <c r="C34">
        <v>36</v>
      </c>
      <c r="D34" t="s">
        <v>8</v>
      </c>
      <c r="E34">
        <v>46246</v>
      </c>
      <c r="F34">
        <v>2</v>
      </c>
      <c r="G34" t="s">
        <v>9</v>
      </c>
    </row>
    <row r="35" spans="1:7">
      <c r="A35">
        <v>134</v>
      </c>
      <c r="B35" t="s">
        <v>13</v>
      </c>
      <c r="C35">
        <v>22</v>
      </c>
      <c r="D35" t="s">
        <v>10</v>
      </c>
      <c r="E35">
        <v>44432</v>
      </c>
      <c r="F35">
        <v>10</v>
      </c>
      <c r="G35" t="s">
        <v>9</v>
      </c>
    </row>
    <row r="36" spans="1:7">
      <c r="A36">
        <v>135</v>
      </c>
      <c r="B36" t="s">
        <v>7</v>
      </c>
      <c r="C36">
        <v>29</v>
      </c>
      <c r="D36" t="s">
        <v>10</v>
      </c>
      <c r="E36">
        <v>32058</v>
      </c>
      <c r="F36">
        <v>15</v>
      </c>
      <c r="G36" t="s">
        <v>12</v>
      </c>
    </row>
    <row r="37" spans="1:7">
      <c r="A37">
        <v>136</v>
      </c>
      <c r="B37" t="s">
        <v>7</v>
      </c>
      <c r="C37">
        <v>38</v>
      </c>
      <c r="D37" t="s">
        <v>10</v>
      </c>
      <c r="E37">
        <v>73842</v>
      </c>
      <c r="F37">
        <v>5</v>
      </c>
      <c r="G37" t="s">
        <v>12</v>
      </c>
    </row>
    <row r="38" spans="1:7">
      <c r="A38">
        <v>137</v>
      </c>
      <c r="B38" t="s">
        <v>11</v>
      </c>
      <c r="C38">
        <v>45</v>
      </c>
      <c r="D38" t="s">
        <v>8</v>
      </c>
      <c r="E38">
        <v>81420</v>
      </c>
      <c r="F38">
        <v>4</v>
      </c>
      <c r="G38" t="s">
        <v>12</v>
      </c>
    </row>
    <row r="39" spans="1:7">
      <c r="A39">
        <v>138</v>
      </c>
      <c r="B39" t="s">
        <v>14</v>
      </c>
      <c r="C39">
        <v>28</v>
      </c>
      <c r="D39" t="s">
        <v>10</v>
      </c>
      <c r="E39">
        <v>73187</v>
      </c>
      <c r="F39">
        <v>2</v>
      </c>
      <c r="G39" t="s">
        <v>12</v>
      </c>
    </row>
    <row r="40" spans="1:7">
      <c r="A40">
        <v>139</v>
      </c>
      <c r="B40" t="s">
        <v>14</v>
      </c>
      <c r="C40">
        <v>35</v>
      </c>
      <c r="D40" t="s">
        <v>8</v>
      </c>
      <c r="E40">
        <v>77780</v>
      </c>
      <c r="F40">
        <v>14</v>
      </c>
      <c r="G40" t="s">
        <v>9</v>
      </c>
    </row>
    <row r="41" spans="1:7">
      <c r="A41">
        <v>140</v>
      </c>
      <c r="B41" t="s">
        <v>7</v>
      </c>
      <c r="C41">
        <v>23</v>
      </c>
      <c r="D41" t="s">
        <v>8</v>
      </c>
      <c r="E41">
        <v>52236</v>
      </c>
      <c r="F41">
        <v>12</v>
      </c>
      <c r="G41" t="s">
        <v>12</v>
      </c>
    </row>
    <row r="42" spans="1:7">
      <c r="A42">
        <v>141</v>
      </c>
      <c r="B42" t="s">
        <v>7</v>
      </c>
      <c r="C42">
        <v>29</v>
      </c>
      <c r="D42" t="s">
        <v>10</v>
      </c>
      <c r="E42">
        <v>65146</v>
      </c>
      <c r="F42">
        <v>4</v>
      </c>
      <c r="G42" t="s">
        <v>12</v>
      </c>
    </row>
    <row r="43" spans="1:7">
      <c r="A43">
        <v>142</v>
      </c>
      <c r="B43" t="s">
        <v>14</v>
      </c>
      <c r="C43">
        <v>27</v>
      </c>
      <c r="D43" t="s">
        <v>8</v>
      </c>
      <c r="E43">
        <v>46371</v>
      </c>
      <c r="F43">
        <v>8</v>
      </c>
      <c r="G43" t="s">
        <v>12</v>
      </c>
    </row>
    <row r="44" spans="1:7">
      <c r="A44">
        <v>143</v>
      </c>
      <c r="B44" t="s">
        <v>7</v>
      </c>
      <c r="C44">
        <v>36</v>
      </c>
      <c r="D44" t="s">
        <v>10</v>
      </c>
      <c r="E44">
        <v>72738</v>
      </c>
      <c r="F44">
        <v>1</v>
      </c>
      <c r="G44" t="s">
        <v>12</v>
      </c>
    </row>
    <row r="45" spans="1:7">
      <c r="A45">
        <v>144</v>
      </c>
      <c r="B45" t="s">
        <v>7</v>
      </c>
      <c r="C45">
        <v>24</v>
      </c>
      <c r="D45" t="s">
        <v>10</v>
      </c>
      <c r="E45">
        <v>56634</v>
      </c>
      <c r="F45">
        <v>3</v>
      </c>
      <c r="G45" t="s">
        <v>12</v>
      </c>
    </row>
    <row r="46" spans="1:7">
      <c r="A46">
        <v>145</v>
      </c>
      <c r="B46" t="s">
        <v>11</v>
      </c>
      <c r="C46">
        <v>49</v>
      </c>
      <c r="D46" t="s">
        <v>8</v>
      </c>
      <c r="E46">
        <v>33842</v>
      </c>
      <c r="F46">
        <v>15</v>
      </c>
      <c r="G46" t="s">
        <v>9</v>
      </c>
    </row>
    <row r="47" spans="1:7">
      <c r="A47">
        <v>146</v>
      </c>
      <c r="B47" t="s">
        <v>7</v>
      </c>
      <c r="C47">
        <v>34</v>
      </c>
      <c r="D47" t="s">
        <v>8</v>
      </c>
      <c r="E47">
        <v>81384</v>
      </c>
      <c r="F47">
        <v>15</v>
      </c>
      <c r="G47" t="s">
        <v>12</v>
      </c>
    </row>
    <row r="48" spans="1:7">
      <c r="A48">
        <v>147</v>
      </c>
      <c r="B48" t="s">
        <v>13</v>
      </c>
      <c r="C48">
        <v>35</v>
      </c>
      <c r="D48" t="s">
        <v>8</v>
      </c>
      <c r="E48">
        <v>42445</v>
      </c>
      <c r="F48">
        <v>3</v>
      </c>
      <c r="G48" t="s">
        <v>12</v>
      </c>
    </row>
    <row r="49" spans="1:7">
      <c r="A49">
        <v>148</v>
      </c>
      <c r="B49" t="s">
        <v>7</v>
      </c>
      <c r="C49">
        <v>40</v>
      </c>
      <c r="D49" t="s">
        <v>10</v>
      </c>
      <c r="E49">
        <v>50552</v>
      </c>
      <c r="F49">
        <v>12</v>
      </c>
      <c r="G49" t="s">
        <v>9</v>
      </c>
    </row>
    <row r="50" spans="1:7">
      <c r="A50">
        <v>149</v>
      </c>
      <c r="B50" t="s">
        <v>14</v>
      </c>
      <c r="C50">
        <v>38</v>
      </c>
      <c r="D50" t="s">
        <v>10</v>
      </c>
      <c r="E50">
        <v>63281</v>
      </c>
      <c r="F50">
        <v>1</v>
      </c>
      <c r="G50" t="s">
        <v>9</v>
      </c>
    </row>
    <row r="51" spans="1:7">
      <c r="A51">
        <v>150</v>
      </c>
      <c r="B51" t="s">
        <v>11</v>
      </c>
      <c r="C51">
        <v>24</v>
      </c>
      <c r="D51" t="s">
        <v>10</v>
      </c>
      <c r="E51">
        <v>86480</v>
      </c>
      <c r="F51">
        <v>11</v>
      </c>
      <c r="G51" t="s">
        <v>9</v>
      </c>
    </row>
    <row r="52" spans="1:7">
      <c r="A52">
        <v>151</v>
      </c>
      <c r="B52" t="s">
        <v>7</v>
      </c>
      <c r="C52">
        <v>50</v>
      </c>
      <c r="D52" t="s">
        <v>10</v>
      </c>
      <c r="E52">
        <v>68962</v>
      </c>
      <c r="F52">
        <v>10</v>
      </c>
      <c r="G52" t="s">
        <v>9</v>
      </c>
    </row>
    <row r="53" spans="1:7">
      <c r="A53">
        <v>152</v>
      </c>
      <c r="B53" t="s">
        <v>7</v>
      </c>
      <c r="C53">
        <v>35</v>
      </c>
      <c r="D53" t="s">
        <v>8</v>
      </c>
      <c r="E53">
        <v>47089</v>
      </c>
      <c r="F53">
        <v>15</v>
      </c>
      <c r="G53" t="s">
        <v>9</v>
      </c>
    </row>
    <row r="54" spans="1:7">
      <c r="A54">
        <v>153</v>
      </c>
      <c r="B54" t="s">
        <v>13</v>
      </c>
      <c r="C54">
        <v>29</v>
      </c>
      <c r="D54" t="s">
        <v>8</v>
      </c>
      <c r="E54">
        <v>38577</v>
      </c>
      <c r="F54">
        <v>7</v>
      </c>
      <c r="G54" t="s">
        <v>12</v>
      </c>
    </row>
    <row r="55" spans="1:7">
      <c r="A55">
        <v>154</v>
      </c>
      <c r="B55" t="s">
        <v>13</v>
      </c>
      <c r="C55">
        <v>36</v>
      </c>
      <c r="D55" t="s">
        <v>8</v>
      </c>
      <c r="E55">
        <v>79274</v>
      </c>
      <c r="F55">
        <v>15</v>
      </c>
      <c r="G55" t="s">
        <v>12</v>
      </c>
    </row>
    <row r="56" spans="1:7">
      <c r="A56">
        <v>155</v>
      </c>
      <c r="B56" t="s">
        <v>7</v>
      </c>
      <c r="C56">
        <v>36</v>
      </c>
      <c r="D56" t="s">
        <v>10</v>
      </c>
      <c r="E56">
        <v>65234</v>
      </c>
      <c r="F56">
        <v>2</v>
      </c>
      <c r="G56" t="s">
        <v>9</v>
      </c>
    </row>
    <row r="57" spans="1:7">
      <c r="A57">
        <v>156</v>
      </c>
      <c r="B57" t="s">
        <v>13</v>
      </c>
      <c r="C57">
        <v>26</v>
      </c>
      <c r="D57" t="s">
        <v>8</v>
      </c>
      <c r="E57">
        <v>34508</v>
      </c>
      <c r="F57">
        <v>15</v>
      </c>
      <c r="G57" t="s">
        <v>12</v>
      </c>
    </row>
    <row r="58" spans="1:7">
      <c r="A58">
        <v>157</v>
      </c>
      <c r="B58" t="s">
        <v>13</v>
      </c>
      <c r="C58">
        <v>31</v>
      </c>
      <c r="D58" t="s">
        <v>10</v>
      </c>
      <c r="E58">
        <v>84640</v>
      </c>
      <c r="F58">
        <v>8</v>
      </c>
      <c r="G58" t="s">
        <v>12</v>
      </c>
    </row>
    <row r="59" spans="1:7">
      <c r="A59">
        <v>158</v>
      </c>
      <c r="B59" t="s">
        <v>13</v>
      </c>
      <c r="C59">
        <v>41</v>
      </c>
      <c r="D59" t="s">
        <v>10</v>
      </c>
      <c r="E59">
        <v>83549</v>
      </c>
      <c r="F59">
        <v>11</v>
      </c>
      <c r="G59" t="s">
        <v>12</v>
      </c>
    </row>
    <row r="60" spans="1:7">
      <c r="A60">
        <v>159</v>
      </c>
      <c r="B60" t="s">
        <v>7</v>
      </c>
      <c r="C60">
        <v>50</v>
      </c>
      <c r="D60" t="s">
        <v>10</v>
      </c>
      <c r="E60">
        <v>37564</v>
      </c>
      <c r="F60">
        <v>5</v>
      </c>
      <c r="G60" t="s">
        <v>12</v>
      </c>
    </row>
    <row r="61" spans="1:7">
      <c r="A61">
        <v>160</v>
      </c>
      <c r="B61" t="s">
        <v>11</v>
      </c>
      <c r="C61">
        <v>30</v>
      </c>
      <c r="D61" t="s">
        <v>8</v>
      </c>
      <c r="E61">
        <v>43803</v>
      </c>
      <c r="F61">
        <v>10</v>
      </c>
      <c r="G61" t="s">
        <v>12</v>
      </c>
    </row>
    <row r="62" spans="1:7">
      <c r="A62">
        <v>161</v>
      </c>
      <c r="B62" t="s">
        <v>11</v>
      </c>
      <c r="C62">
        <v>43</v>
      </c>
      <c r="D62" t="s">
        <v>8</v>
      </c>
      <c r="E62">
        <v>62016</v>
      </c>
      <c r="F62">
        <v>9</v>
      </c>
      <c r="G62" t="s">
        <v>12</v>
      </c>
    </row>
    <row r="63" spans="1:7">
      <c r="A63">
        <v>162</v>
      </c>
      <c r="B63" t="s">
        <v>7</v>
      </c>
      <c r="C63">
        <v>24</v>
      </c>
      <c r="D63" t="s">
        <v>8</v>
      </c>
      <c r="E63">
        <v>48132</v>
      </c>
      <c r="F63">
        <v>14</v>
      </c>
      <c r="G63" t="s">
        <v>9</v>
      </c>
    </row>
    <row r="64" spans="1:7">
      <c r="A64">
        <v>163</v>
      </c>
      <c r="B64" t="s">
        <v>13</v>
      </c>
      <c r="C64">
        <v>46</v>
      </c>
      <c r="D64" t="s">
        <v>10</v>
      </c>
      <c r="E64">
        <v>47167</v>
      </c>
      <c r="F64">
        <v>11</v>
      </c>
      <c r="G64" t="s">
        <v>9</v>
      </c>
    </row>
    <row r="65" spans="1:7">
      <c r="A65">
        <v>164</v>
      </c>
      <c r="B65" t="s">
        <v>14</v>
      </c>
      <c r="C65">
        <v>39</v>
      </c>
      <c r="D65" t="s">
        <v>8</v>
      </c>
      <c r="E65">
        <v>30633</v>
      </c>
      <c r="F65">
        <v>9</v>
      </c>
      <c r="G65" t="s">
        <v>9</v>
      </c>
    </row>
    <row r="66" spans="1:7">
      <c r="A66">
        <v>165</v>
      </c>
      <c r="B66" t="s">
        <v>11</v>
      </c>
      <c r="C66">
        <v>39</v>
      </c>
      <c r="D66" t="s">
        <v>10</v>
      </c>
      <c r="E66">
        <v>54196</v>
      </c>
      <c r="F66">
        <v>14</v>
      </c>
      <c r="G66" t="s">
        <v>12</v>
      </c>
    </row>
    <row r="67" spans="1:7">
      <c r="A67">
        <v>166</v>
      </c>
      <c r="B67" t="s">
        <v>11</v>
      </c>
      <c r="C67">
        <v>35</v>
      </c>
      <c r="D67" t="s">
        <v>10</v>
      </c>
      <c r="E67">
        <v>50202</v>
      </c>
      <c r="F67">
        <v>1</v>
      </c>
      <c r="G67" t="s">
        <v>12</v>
      </c>
    </row>
    <row r="68" spans="1:7">
      <c r="A68">
        <v>167</v>
      </c>
      <c r="B68" t="s">
        <v>7</v>
      </c>
      <c r="C68">
        <v>50</v>
      </c>
      <c r="D68" t="s">
        <v>8</v>
      </c>
      <c r="E68">
        <v>74699</v>
      </c>
      <c r="F68">
        <v>4</v>
      </c>
      <c r="G68" t="s">
        <v>9</v>
      </c>
    </row>
    <row r="69" spans="1:7">
      <c r="A69">
        <v>168</v>
      </c>
      <c r="B69" t="s">
        <v>7</v>
      </c>
      <c r="C69">
        <v>33</v>
      </c>
      <c r="D69" t="s">
        <v>8</v>
      </c>
      <c r="E69">
        <v>79117</v>
      </c>
      <c r="F69">
        <v>10</v>
      </c>
      <c r="G69" t="s">
        <v>9</v>
      </c>
    </row>
    <row r="70" spans="1:7">
      <c r="A70">
        <v>169</v>
      </c>
      <c r="B70" t="s">
        <v>11</v>
      </c>
      <c r="C70">
        <v>49</v>
      </c>
      <c r="D70" t="s">
        <v>10</v>
      </c>
      <c r="E70">
        <v>83134</v>
      </c>
      <c r="F70">
        <v>13</v>
      </c>
      <c r="G70" t="s">
        <v>9</v>
      </c>
    </row>
    <row r="71" spans="1:7">
      <c r="A71">
        <v>170</v>
      </c>
      <c r="B71" t="s">
        <v>14</v>
      </c>
      <c r="C71">
        <v>22</v>
      </c>
      <c r="D71" t="s">
        <v>10</v>
      </c>
      <c r="E71">
        <v>51770</v>
      </c>
      <c r="F71">
        <v>12</v>
      </c>
      <c r="G71" t="s">
        <v>12</v>
      </c>
    </row>
    <row r="72" spans="1:7">
      <c r="A72">
        <v>171</v>
      </c>
      <c r="B72" t="s">
        <v>14</v>
      </c>
      <c r="C72">
        <v>47</v>
      </c>
      <c r="D72" t="s">
        <v>10</v>
      </c>
      <c r="E72">
        <v>40433</v>
      </c>
      <c r="F72">
        <v>5</v>
      </c>
      <c r="G72" t="s">
        <v>12</v>
      </c>
    </row>
    <row r="73" spans="1:7">
      <c r="A73">
        <v>172</v>
      </c>
      <c r="B73" t="s">
        <v>7</v>
      </c>
      <c r="C73">
        <v>34</v>
      </c>
      <c r="D73" t="s">
        <v>10</v>
      </c>
      <c r="E73">
        <v>60847</v>
      </c>
      <c r="F73">
        <v>14</v>
      </c>
      <c r="G73" t="s">
        <v>9</v>
      </c>
    </row>
    <row r="74" spans="1:7">
      <c r="A74">
        <v>173</v>
      </c>
      <c r="B74" t="s">
        <v>14</v>
      </c>
      <c r="C74">
        <v>33</v>
      </c>
      <c r="D74" t="s">
        <v>8</v>
      </c>
      <c r="E74">
        <v>82123</v>
      </c>
      <c r="F74">
        <v>14</v>
      </c>
      <c r="G74" t="s">
        <v>12</v>
      </c>
    </row>
    <row r="75" spans="1:7">
      <c r="A75">
        <v>174</v>
      </c>
      <c r="B75" t="s">
        <v>11</v>
      </c>
      <c r="C75">
        <v>22</v>
      </c>
      <c r="D75" t="s">
        <v>10</v>
      </c>
      <c r="E75">
        <v>51512</v>
      </c>
      <c r="F75">
        <v>7</v>
      </c>
      <c r="G75" t="s">
        <v>12</v>
      </c>
    </row>
    <row r="76" spans="1:7">
      <c r="A76">
        <v>175</v>
      </c>
      <c r="B76" t="s">
        <v>7</v>
      </c>
      <c r="C76">
        <v>46</v>
      </c>
      <c r="D76" t="s">
        <v>8</v>
      </c>
      <c r="E76">
        <v>72040</v>
      </c>
      <c r="F76">
        <v>6</v>
      </c>
      <c r="G76" t="s">
        <v>12</v>
      </c>
    </row>
    <row r="77" spans="1:7">
      <c r="A77">
        <v>176</v>
      </c>
      <c r="B77" t="s">
        <v>13</v>
      </c>
      <c r="C77">
        <v>22</v>
      </c>
      <c r="D77" t="s">
        <v>10</v>
      </c>
      <c r="E77">
        <v>47118</v>
      </c>
      <c r="F77">
        <v>15</v>
      </c>
      <c r="G77" t="s">
        <v>9</v>
      </c>
    </row>
    <row r="78" spans="1:7">
      <c r="A78">
        <v>177</v>
      </c>
      <c r="B78" t="s">
        <v>13</v>
      </c>
      <c r="C78">
        <v>23</v>
      </c>
      <c r="D78" t="s">
        <v>10</v>
      </c>
      <c r="E78">
        <v>58479</v>
      </c>
      <c r="F78">
        <v>10</v>
      </c>
      <c r="G78" t="s">
        <v>12</v>
      </c>
    </row>
    <row r="79" spans="1:7">
      <c r="A79">
        <v>178</v>
      </c>
      <c r="B79" t="s">
        <v>13</v>
      </c>
      <c r="C79">
        <v>35</v>
      </c>
      <c r="D79" t="s">
        <v>10</v>
      </c>
      <c r="E79">
        <v>88949</v>
      </c>
      <c r="F79">
        <v>7</v>
      </c>
      <c r="G79" t="s">
        <v>12</v>
      </c>
    </row>
    <row r="80" spans="1:7">
      <c r="A80">
        <v>179</v>
      </c>
      <c r="B80" t="s">
        <v>13</v>
      </c>
      <c r="C80">
        <v>23</v>
      </c>
      <c r="D80" t="s">
        <v>8</v>
      </c>
      <c r="E80">
        <v>64073</v>
      </c>
      <c r="F80">
        <v>1</v>
      </c>
      <c r="G80" t="s">
        <v>12</v>
      </c>
    </row>
    <row r="81" spans="1:7">
      <c r="A81">
        <v>180</v>
      </c>
      <c r="B81" t="s">
        <v>11</v>
      </c>
      <c r="C81">
        <v>33</v>
      </c>
      <c r="D81" t="s">
        <v>8</v>
      </c>
      <c r="E81">
        <v>73531</v>
      </c>
      <c r="F81">
        <v>2</v>
      </c>
      <c r="G81" t="s">
        <v>12</v>
      </c>
    </row>
    <row r="82" spans="1:7">
      <c r="A82">
        <v>181</v>
      </c>
      <c r="B82" t="s">
        <v>13</v>
      </c>
      <c r="C82">
        <v>43</v>
      </c>
      <c r="D82" t="s">
        <v>10</v>
      </c>
      <c r="E82">
        <v>88985</v>
      </c>
      <c r="F82">
        <v>12</v>
      </c>
      <c r="G82" t="s">
        <v>12</v>
      </c>
    </row>
    <row r="83" spans="1:7">
      <c r="A83">
        <v>182</v>
      </c>
      <c r="B83" t="s">
        <v>13</v>
      </c>
      <c r="C83">
        <v>43</v>
      </c>
      <c r="D83" t="s">
        <v>8</v>
      </c>
      <c r="E83">
        <v>56371</v>
      </c>
      <c r="F83">
        <v>6</v>
      </c>
      <c r="G83" t="s">
        <v>12</v>
      </c>
    </row>
    <row r="84" spans="1:7">
      <c r="A84">
        <v>183</v>
      </c>
      <c r="B84" t="s">
        <v>11</v>
      </c>
      <c r="C84">
        <v>28</v>
      </c>
      <c r="D84" t="s">
        <v>8</v>
      </c>
      <c r="E84">
        <v>54847</v>
      </c>
      <c r="F84">
        <v>11</v>
      </c>
      <c r="G84" t="s">
        <v>12</v>
      </c>
    </row>
    <row r="85" spans="1:7">
      <c r="A85">
        <v>184</v>
      </c>
      <c r="B85" t="s">
        <v>11</v>
      </c>
      <c r="C85">
        <v>41</v>
      </c>
      <c r="D85" t="s">
        <v>8</v>
      </c>
      <c r="E85">
        <v>65909</v>
      </c>
      <c r="F85">
        <v>7</v>
      </c>
      <c r="G85" t="s">
        <v>12</v>
      </c>
    </row>
    <row r="86" spans="1:7">
      <c r="A86">
        <v>185</v>
      </c>
      <c r="B86" t="s">
        <v>13</v>
      </c>
      <c r="C86">
        <v>31</v>
      </c>
      <c r="D86" t="s">
        <v>10</v>
      </c>
      <c r="E86">
        <v>81495</v>
      </c>
      <c r="F86">
        <v>7</v>
      </c>
      <c r="G86" t="s">
        <v>12</v>
      </c>
    </row>
    <row r="87" spans="1:7">
      <c r="A87">
        <v>186</v>
      </c>
      <c r="B87" t="s">
        <v>13</v>
      </c>
      <c r="C87">
        <v>36</v>
      </c>
      <c r="D87" t="s">
        <v>8</v>
      </c>
      <c r="E87">
        <v>74277</v>
      </c>
      <c r="F87">
        <v>8</v>
      </c>
      <c r="G87" t="s">
        <v>9</v>
      </c>
    </row>
    <row r="88" spans="1:7">
      <c r="A88">
        <v>187</v>
      </c>
      <c r="B88" t="s">
        <v>14</v>
      </c>
      <c r="C88">
        <v>47</v>
      </c>
      <c r="D88" t="s">
        <v>10</v>
      </c>
      <c r="E88">
        <v>35557</v>
      </c>
      <c r="F88">
        <v>11</v>
      </c>
      <c r="G88" t="s">
        <v>12</v>
      </c>
    </row>
    <row r="89" spans="1:7">
      <c r="A89">
        <v>188</v>
      </c>
      <c r="B89" t="s">
        <v>13</v>
      </c>
      <c r="C89">
        <v>24</v>
      </c>
      <c r="D89" t="s">
        <v>10</v>
      </c>
      <c r="E89">
        <v>50343</v>
      </c>
      <c r="F89">
        <v>11</v>
      </c>
      <c r="G89" t="s">
        <v>9</v>
      </c>
    </row>
    <row r="90" spans="1:7">
      <c r="A90">
        <v>189</v>
      </c>
      <c r="B90" t="s">
        <v>11</v>
      </c>
      <c r="C90">
        <v>26</v>
      </c>
      <c r="D90" t="s">
        <v>10</v>
      </c>
      <c r="E90">
        <v>46046</v>
      </c>
      <c r="F90">
        <v>1</v>
      </c>
      <c r="G90" t="s">
        <v>12</v>
      </c>
    </row>
    <row r="91" spans="1:7">
      <c r="A91">
        <v>190</v>
      </c>
      <c r="B91" t="s">
        <v>7</v>
      </c>
      <c r="C91">
        <v>36</v>
      </c>
      <c r="D91" t="s">
        <v>8</v>
      </c>
      <c r="E91">
        <v>71272</v>
      </c>
      <c r="F91">
        <v>15</v>
      </c>
      <c r="G91" t="s">
        <v>12</v>
      </c>
    </row>
    <row r="92" spans="1:7">
      <c r="A92">
        <v>191</v>
      </c>
      <c r="B92" t="s">
        <v>14</v>
      </c>
      <c r="C92">
        <v>37</v>
      </c>
      <c r="D92" t="s">
        <v>8</v>
      </c>
      <c r="E92">
        <v>39671</v>
      </c>
      <c r="F92">
        <v>4</v>
      </c>
      <c r="G92" t="s">
        <v>12</v>
      </c>
    </row>
    <row r="93" spans="1:7">
      <c r="A93">
        <v>192</v>
      </c>
      <c r="B93" t="s">
        <v>7</v>
      </c>
      <c r="C93">
        <v>50</v>
      </c>
      <c r="D93" t="s">
        <v>10</v>
      </c>
      <c r="E93">
        <v>57862</v>
      </c>
      <c r="F93">
        <v>13</v>
      </c>
      <c r="G93" t="s">
        <v>9</v>
      </c>
    </row>
    <row r="94" spans="1:7">
      <c r="A94">
        <v>193</v>
      </c>
      <c r="B94" t="s">
        <v>14</v>
      </c>
      <c r="C94">
        <v>23</v>
      </c>
      <c r="D94" t="s">
        <v>10</v>
      </c>
      <c r="E94">
        <v>85596</v>
      </c>
      <c r="F94">
        <v>15</v>
      </c>
      <c r="G94" t="s">
        <v>9</v>
      </c>
    </row>
    <row r="95" spans="1:7">
      <c r="A95">
        <v>194</v>
      </c>
      <c r="B95" t="s">
        <v>11</v>
      </c>
      <c r="C95">
        <v>47</v>
      </c>
      <c r="D95" t="s">
        <v>8</v>
      </c>
      <c r="E95">
        <v>64808</v>
      </c>
      <c r="F95">
        <v>11</v>
      </c>
      <c r="G95" t="s">
        <v>12</v>
      </c>
    </row>
    <row r="96" spans="1:7">
      <c r="A96">
        <v>195</v>
      </c>
      <c r="B96" t="s">
        <v>13</v>
      </c>
      <c r="C96">
        <v>46</v>
      </c>
      <c r="D96" t="s">
        <v>8</v>
      </c>
      <c r="E96">
        <v>83412</v>
      </c>
      <c r="F96">
        <v>10</v>
      </c>
      <c r="G96" t="s">
        <v>12</v>
      </c>
    </row>
    <row r="97" spans="1:7">
      <c r="A97">
        <v>196</v>
      </c>
      <c r="B97" t="s">
        <v>14</v>
      </c>
      <c r="C97">
        <v>48</v>
      </c>
      <c r="D97" t="s">
        <v>8</v>
      </c>
      <c r="E97">
        <v>40430</v>
      </c>
      <c r="F97">
        <v>15</v>
      </c>
      <c r="G97" t="s">
        <v>12</v>
      </c>
    </row>
    <row r="98" spans="1:7">
      <c r="A98">
        <v>197</v>
      </c>
      <c r="B98" t="s">
        <v>14</v>
      </c>
      <c r="C98">
        <v>36</v>
      </c>
      <c r="D98" t="s">
        <v>8</v>
      </c>
      <c r="E98">
        <v>46203</v>
      </c>
      <c r="F98">
        <v>13</v>
      </c>
      <c r="G98" t="s">
        <v>12</v>
      </c>
    </row>
    <row r="99" spans="1:7">
      <c r="A99">
        <v>198</v>
      </c>
      <c r="B99" t="s">
        <v>13</v>
      </c>
      <c r="C99">
        <v>46</v>
      </c>
      <c r="D99" t="s">
        <v>8</v>
      </c>
      <c r="E99">
        <v>45679</v>
      </c>
      <c r="F99">
        <v>11</v>
      </c>
      <c r="G99" t="s">
        <v>12</v>
      </c>
    </row>
    <row r="100" spans="1:7">
      <c r="A100">
        <v>199</v>
      </c>
      <c r="B100" t="s">
        <v>7</v>
      </c>
      <c r="C100">
        <v>44</v>
      </c>
      <c r="D100" t="s">
        <v>8</v>
      </c>
      <c r="E100">
        <v>47807</v>
      </c>
      <c r="F100">
        <v>4</v>
      </c>
      <c r="G100" t="s">
        <v>12</v>
      </c>
    </row>
    <row r="101" spans="1:7">
      <c r="A101">
        <v>200</v>
      </c>
      <c r="B101" t="s">
        <v>7</v>
      </c>
      <c r="C101">
        <v>26</v>
      </c>
      <c r="D101" t="s">
        <v>10</v>
      </c>
      <c r="E101">
        <v>55102</v>
      </c>
      <c r="F101">
        <v>4</v>
      </c>
      <c r="G101" t="s">
        <v>12</v>
      </c>
    </row>
  </sheetData>
  <conditionalFormatting sqref="G1:G1048576">
    <cfRule type="containsText" dxfId="1" priority="1" operator="containsText" text="No">
      <formula>NOT(ISERROR(SEARCH("No",G1)))</formula>
    </cfRule>
    <cfRule type="containsText" dxfId="0" priority="2" operator="containsText" text="Yes">
      <formula>NOT(ISERROR(SEARCH("Yes",G1)))</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E5742-320A-4150-AF6B-F33358EF2CCB}">
  <dimension ref="A3:B8"/>
  <sheetViews>
    <sheetView workbookViewId="0">
      <selection activeCell="L11" sqref="L11"/>
    </sheetView>
  </sheetViews>
  <sheetFormatPr defaultRowHeight="14.5"/>
  <cols>
    <col min="1" max="1" width="12.36328125" bestFit="1" customWidth="1"/>
    <col min="2" max="2" width="17.26953125" bestFit="1" customWidth="1"/>
  </cols>
  <sheetData>
    <row r="3" spans="1:2">
      <c r="A3" s="4" t="s">
        <v>20</v>
      </c>
      <c r="B3" t="s">
        <v>22</v>
      </c>
    </row>
    <row r="4" spans="1:2">
      <c r="A4" s="5" t="s">
        <v>13</v>
      </c>
      <c r="B4">
        <v>4080</v>
      </c>
    </row>
    <row r="5" spans="1:2">
      <c r="A5" s="5" t="s">
        <v>11</v>
      </c>
      <c r="B5">
        <v>3287</v>
      </c>
    </row>
    <row r="6" spans="1:2">
      <c r="A6" s="5" t="s">
        <v>7</v>
      </c>
      <c r="B6">
        <v>4876</v>
      </c>
    </row>
    <row r="7" spans="1:2">
      <c r="A7" s="5" t="s">
        <v>14</v>
      </c>
      <c r="B7">
        <v>2807</v>
      </c>
    </row>
    <row r="8" spans="1:2">
      <c r="A8" s="5" t="s">
        <v>21</v>
      </c>
      <c r="B8">
        <v>15050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08458-B6D6-459E-8E7B-EF6D7189AC2F}">
  <dimension ref="A3:I9"/>
  <sheetViews>
    <sheetView topLeftCell="A4" workbookViewId="0">
      <selection activeCell="L7" sqref="L7"/>
    </sheetView>
  </sheetViews>
  <sheetFormatPr defaultRowHeight="14.5"/>
  <cols>
    <col min="1" max="1" width="18.7265625" bestFit="1" customWidth="1"/>
    <col min="2" max="2" width="15.26953125" bestFit="1" customWidth="1"/>
    <col min="3" max="3" width="3.6328125" bestFit="1" customWidth="1"/>
    <col min="4" max="4" width="10.7265625" bestFit="1" customWidth="1"/>
  </cols>
  <sheetData>
    <row r="3" spans="1:9">
      <c r="A3" s="4" t="s">
        <v>25</v>
      </c>
      <c r="B3" s="4" t="s">
        <v>23</v>
      </c>
    </row>
    <row r="4" spans="1:9">
      <c r="A4" s="4" t="s">
        <v>20</v>
      </c>
      <c r="B4" t="s">
        <v>12</v>
      </c>
      <c r="C4" t="s">
        <v>9</v>
      </c>
      <c r="D4" t="s">
        <v>21</v>
      </c>
    </row>
    <row r="5" spans="1:9">
      <c r="A5" s="5" t="s">
        <v>13</v>
      </c>
      <c r="B5">
        <v>19</v>
      </c>
      <c r="C5">
        <v>7</v>
      </c>
      <c r="D5">
        <v>26</v>
      </c>
      <c r="I5" s="6" t="s">
        <v>24</v>
      </c>
    </row>
    <row r="6" spans="1:9">
      <c r="A6" s="5" t="s">
        <v>11</v>
      </c>
      <c r="B6">
        <v>18</v>
      </c>
      <c r="C6">
        <v>4</v>
      </c>
      <c r="D6">
        <v>22</v>
      </c>
    </row>
    <row r="7" spans="1:9">
      <c r="A7" s="5" t="s">
        <v>7</v>
      </c>
      <c r="B7">
        <v>20</v>
      </c>
      <c r="C7">
        <v>14</v>
      </c>
      <c r="D7">
        <v>34</v>
      </c>
    </row>
    <row r="8" spans="1:9">
      <c r="A8" s="5" t="s">
        <v>14</v>
      </c>
      <c r="B8">
        <v>12</v>
      </c>
      <c r="C8">
        <v>6</v>
      </c>
      <c r="D8">
        <v>18</v>
      </c>
    </row>
    <row r="9" spans="1:9">
      <c r="A9" s="5" t="s">
        <v>21</v>
      </c>
      <c r="B9">
        <v>69</v>
      </c>
      <c r="C9">
        <v>31</v>
      </c>
      <c r="D9">
        <v>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5868A-9E3E-4586-9690-051151F1993C}">
  <dimension ref="A3:B8"/>
  <sheetViews>
    <sheetView workbookViewId="0">
      <selection activeCell="D24" sqref="D24"/>
    </sheetView>
  </sheetViews>
  <sheetFormatPr defaultRowHeight="14.5"/>
  <cols>
    <col min="1" max="1" width="12.36328125" bestFit="1" customWidth="1"/>
    <col min="2" max="2" width="15.26953125" bestFit="1" customWidth="1"/>
  </cols>
  <sheetData>
    <row r="3" spans="1:2">
      <c r="A3" s="4" t="s">
        <v>20</v>
      </c>
      <c r="B3" t="s">
        <v>26</v>
      </c>
    </row>
    <row r="4" spans="1:2">
      <c r="A4" s="5" t="s">
        <v>13</v>
      </c>
      <c r="B4">
        <v>58652.192307692305</v>
      </c>
    </row>
    <row r="5" spans="1:2">
      <c r="A5" s="5" t="s">
        <v>11</v>
      </c>
      <c r="B5">
        <v>58520.13636363636</v>
      </c>
    </row>
    <row r="6" spans="1:2">
      <c r="A6" s="5" t="s">
        <v>7</v>
      </c>
      <c r="B6">
        <v>60599.647058823532</v>
      </c>
    </row>
    <row r="7" spans="1:2">
      <c r="A7" s="5" t="s">
        <v>14</v>
      </c>
      <c r="B7">
        <v>56461.666666666664</v>
      </c>
    </row>
    <row r="8" spans="1:2">
      <c r="A8" s="5" t="s">
        <v>21</v>
      </c>
      <c r="B8">
        <v>58890.98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2E125-7997-4167-B47B-AE4024ACE8CF}">
  <dimension ref="B1:P7"/>
  <sheetViews>
    <sheetView tabSelected="1" zoomScale="87" workbookViewId="0">
      <selection activeCell="G25" sqref="G25"/>
    </sheetView>
  </sheetViews>
  <sheetFormatPr defaultRowHeight="14.5"/>
  <cols>
    <col min="2" max="2" width="22.90625" customWidth="1"/>
    <col min="3" max="3" width="19.7265625" customWidth="1"/>
    <col min="13" max="13" width="9.6328125" customWidth="1"/>
    <col min="16" max="16" width="9.90625" customWidth="1"/>
  </cols>
  <sheetData>
    <row r="1" spans="2:16" ht="26">
      <c r="F1" s="12" t="s">
        <v>27</v>
      </c>
      <c r="G1" s="12"/>
      <c r="H1" s="12"/>
      <c r="I1" s="12"/>
      <c r="J1" s="12"/>
      <c r="K1" s="12"/>
      <c r="L1" s="12"/>
      <c r="M1" s="12"/>
      <c r="N1" s="13"/>
      <c r="O1" s="7"/>
      <c r="P1" s="7"/>
    </row>
    <row r="3" spans="2:16">
      <c r="B3" s="11" t="s">
        <v>28</v>
      </c>
      <c r="C3" s="11" t="s">
        <v>30</v>
      </c>
    </row>
    <row r="4" spans="2:16">
      <c r="B4" s="8" t="s">
        <v>16</v>
      </c>
      <c r="C4" s="9">
        <f>COUNTA('Employee Attrition'!A2:A101)</f>
        <v>100</v>
      </c>
    </row>
    <row r="5" spans="2:16">
      <c r="B5" s="8" t="s">
        <v>17</v>
      </c>
      <c r="C5" s="8">
        <f>COUNTIF('Employee Attrition'!G2:G101,"Yes")</f>
        <v>31</v>
      </c>
    </row>
    <row r="6" spans="2:16">
      <c r="B6" s="8" t="s">
        <v>19</v>
      </c>
      <c r="C6" s="10">
        <f>COUNTIF('Employee Attrition'!G2:G101,"Yes")/COUNTA('Employee Attrition'!A2:A101)</f>
        <v>0.31</v>
      </c>
    </row>
    <row r="7" spans="2:16">
      <c r="B7" s="8" t="s">
        <v>29</v>
      </c>
      <c r="C7" s="14">
        <f>AVERAGE('Employee Attrition'!E2:E101)</f>
        <v>58890.98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Employee Attrition</vt:lpstr>
      <vt:lpstr>Sheet1</vt:lpstr>
      <vt:lpstr>Sheet2</vt:lpstr>
      <vt:lpstr>Sheet3</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nandini bapanpalli</cp:lastModifiedBy>
  <dcterms:created xsi:type="dcterms:W3CDTF">2026-06-06T18:05:47Z</dcterms:created>
  <dcterms:modified xsi:type="dcterms:W3CDTF">2026-06-06T19:46:48Z</dcterms:modified>
</cp:coreProperties>
</file>